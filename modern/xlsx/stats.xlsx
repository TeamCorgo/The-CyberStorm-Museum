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13D68C1-8056-4976-A056-DBFABA378201}" xr6:coauthVersionLast="47" xr6:coauthVersionMax="47" xr10:uidLastSave="{00000000-0000-0000-0000-000000000000}"/>
  <bookViews>
    <workbookView xWindow="-120" yWindow="-120" windowWidth="21480" windowHeight="11565" firstSheet="10" activeTab="11" xr2:uid="{B405A1F0-CA0C-4BD7-9503-DC190814E21D}"/>
  </bookViews>
  <sheets>
    <sheet name="Armor" sheetId="1" r:id="rId1"/>
    <sheet name="Special Armor" sheetId="2" r:id="rId2"/>
    <sheet name="Battery" sheetId="3" r:id="rId3"/>
    <sheet name="Chassis" sheetId="4" r:id="rId4"/>
    <sheet name="Drive" sheetId="5" r:id="rId5"/>
    <sheet name="Internal" sheetId="6" r:id="rId6"/>
    <sheet name="Life Support" sheetId="7" r:id="rId7"/>
    <sheet name="Limbs" sheetId="8" r:id="rId8"/>
    <sheet name="Reactor" sheetId="9" r:id="rId9"/>
    <sheet name="Sensors" sheetId="10" r:id="rId10"/>
    <sheet name="Shields" sheetId="11" r:id="rId11"/>
    <sheet name="Targeting Computer" sheetId="12" r:id="rId12"/>
    <sheet name="Sheet1" sheetId="16" r:id="rId13"/>
    <sheet name="Weapons" sheetId="13" r:id="rId14"/>
    <sheet name="Cybrid Buildings" sheetId="14" r:id="rId15"/>
    <sheet name="Cybrid Units" sheetId="1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6" l="1"/>
</calcChain>
</file>

<file path=xl/sharedStrings.xml><?xml version="1.0" encoding="utf-8"?>
<sst xmlns="http://schemas.openxmlformats.org/spreadsheetml/2006/main" count="2925" uniqueCount="541">
  <si>
    <t>Name</t>
  </si>
  <si>
    <t>Cost</t>
  </si>
  <si>
    <t>Standard</t>
  </si>
  <si>
    <t>Trinnium</t>
  </si>
  <si>
    <t>Didrate</t>
  </si>
  <si>
    <t>Antiballistic</t>
  </si>
  <si>
    <t>Clearplast</t>
  </si>
  <si>
    <t>Armor Name</t>
  </si>
  <si>
    <t>Weight (Wt)</t>
  </si>
  <si>
    <t>Required rank (RK)</t>
  </si>
  <si>
    <t>Special Armor</t>
  </si>
  <si>
    <t>Crystalline 9</t>
  </si>
  <si>
    <t>Clearplast 12</t>
  </si>
  <si>
    <t>Lqd Tri 7.2cm</t>
  </si>
  <si>
    <t>Lqd Tri 18cm</t>
  </si>
  <si>
    <t>Lqd Tri 26.6cm</t>
  </si>
  <si>
    <t>Lqd Tri 33.1cm</t>
  </si>
  <si>
    <t>Heavy Assault</t>
  </si>
  <si>
    <t>Impr 8.6cm Asslt</t>
  </si>
  <si>
    <t>Adv Heat Diff</t>
  </si>
  <si>
    <t>Tri-di 34cm</t>
  </si>
  <si>
    <t>Tri-di 27cm</t>
  </si>
  <si>
    <t>Tri-di 19cm</t>
  </si>
  <si>
    <t>Tri-di 8cm</t>
  </si>
  <si>
    <t>Standard 5cm</t>
  </si>
  <si>
    <t>Standard 11cm</t>
  </si>
  <si>
    <t>Standard 18cm</t>
  </si>
  <si>
    <t>Standard 22m</t>
  </si>
  <si>
    <t>Trinnium 4cm</t>
  </si>
  <si>
    <t>Trinnium 10cm</t>
  </si>
  <si>
    <t>Trinnium 17cm</t>
  </si>
  <si>
    <t>Trinnium 22cm</t>
  </si>
  <si>
    <t>Trinnium 18cm</t>
  </si>
  <si>
    <t>Assault 18cm</t>
  </si>
  <si>
    <t>Assault 23cm</t>
  </si>
  <si>
    <t>Didrate 4.1cm</t>
  </si>
  <si>
    <t>Didrate 10.5cm</t>
  </si>
  <si>
    <t>Didrate 17.5cm</t>
  </si>
  <si>
    <t>Didrate 22.9cm</t>
  </si>
  <si>
    <t>Didrate 28cm</t>
  </si>
  <si>
    <t>Didrate 35cm</t>
  </si>
  <si>
    <t>Default</t>
  </si>
  <si>
    <t>TriDidrate</t>
  </si>
  <si>
    <t>Crystaline</t>
  </si>
  <si>
    <t>Heat Diff</t>
  </si>
  <si>
    <t>HEX Reinforcement</t>
  </si>
  <si>
    <t>Reinforced</t>
  </si>
  <si>
    <t>Normal (Front 100%, Sides 100%, Rear 100%)</t>
  </si>
  <si>
    <t>Reinforced (Front -40%, Sides -20%, Rear +50%)</t>
  </si>
  <si>
    <t>Percent of damage deflected @ 100% (D100)</t>
  </si>
  <si>
    <t>Percent of damage deflected @ 0% (D0)</t>
  </si>
  <si>
    <t>Amount of damage subtracted @ 100% (S100)</t>
  </si>
  <si>
    <t>Amount of damage subtracted @ 0% (S0)</t>
  </si>
  <si>
    <t>Shadow</t>
  </si>
  <si>
    <t>Remora</t>
  </si>
  <si>
    <t>Sensei</t>
  </si>
  <si>
    <t>Ogre</t>
  </si>
  <si>
    <t>Demon</t>
  </si>
  <si>
    <t>Giant</t>
  </si>
  <si>
    <t>Reaper</t>
  </si>
  <si>
    <t>Juggernaut</t>
  </si>
  <si>
    <t>Yes</t>
  </si>
  <si>
    <t>Energy</t>
  </si>
  <si>
    <t>Missile</t>
  </si>
  <si>
    <t>Cannon</t>
  </si>
  <si>
    <t>Plasma</t>
  </si>
  <si>
    <t>ELF</t>
  </si>
  <si>
    <t>AdvTech</t>
  </si>
  <si>
    <t>Bomb</t>
  </si>
  <si>
    <t>Default (Def)</t>
  </si>
  <si>
    <t>Trinnium (Tri)</t>
  </si>
  <si>
    <t>Didrate (Did)</t>
  </si>
  <si>
    <t>TriDidrate (TD)</t>
  </si>
  <si>
    <t>Antiballistic (Ant)</t>
  </si>
  <si>
    <t>Heat Diff (HD)</t>
  </si>
  <si>
    <t>Crystaline (Cry)</t>
  </si>
  <si>
    <t>Clearplast (Clp)</t>
  </si>
  <si>
    <t>Rank</t>
  </si>
  <si>
    <t>Max battery storage (Max)</t>
  </si>
  <si>
    <t>Ichemical 120</t>
  </si>
  <si>
    <t>Ichemical 180</t>
  </si>
  <si>
    <t>Ichemical 240</t>
  </si>
  <si>
    <t>Ichemical 360</t>
  </si>
  <si>
    <t>Ichemical 420</t>
  </si>
  <si>
    <t>Ichemical 480\</t>
  </si>
  <si>
    <t>Chemical 105</t>
  </si>
  <si>
    <t>Chemical 150</t>
  </si>
  <si>
    <t>Chemical 180</t>
  </si>
  <si>
    <t>Chemical 300</t>
  </si>
  <si>
    <t>Chemical 330</t>
  </si>
  <si>
    <t>Chemical 390</t>
  </si>
  <si>
    <t>Iridium 158</t>
  </si>
  <si>
    <t>Iridium 197</t>
  </si>
  <si>
    <t>Iridium 261</t>
  </si>
  <si>
    <t>Iridium 396</t>
  </si>
  <si>
    <t>Iridium 459</t>
  </si>
  <si>
    <t>Iridium 527</t>
  </si>
  <si>
    <t>Tru-power 174</t>
  </si>
  <si>
    <t>Tru-power 215</t>
  </si>
  <si>
    <t>Tru-power 288</t>
  </si>
  <si>
    <t>Tru-power 435</t>
  </si>
  <si>
    <t>Tru-power 471</t>
  </si>
  <si>
    <t>Tru-power 577</t>
  </si>
  <si>
    <t>Armor factor (Afac)</t>
  </si>
  <si>
    <t>Type</t>
  </si>
  <si>
    <t>Weight</t>
  </si>
  <si>
    <t>Rank (Rk)</t>
  </si>
  <si>
    <t>Minimal</t>
  </si>
  <si>
    <t>Low</t>
  </si>
  <si>
    <t>Medium</t>
  </si>
  <si>
    <t>High</t>
  </si>
  <si>
    <t>Jump costs (Jump)</t>
  </si>
  <si>
    <t>Crouch costs (Crch)</t>
  </si>
  <si>
    <t>N/A</t>
  </si>
  <si>
    <t>Improved</t>
  </si>
  <si>
    <t>Pre-Flexive R1</t>
  </si>
  <si>
    <t>Flexive R1</t>
  </si>
  <si>
    <t>Improved R1</t>
  </si>
  <si>
    <t>Trivate R1</t>
  </si>
  <si>
    <t>Pre-Flexive R2</t>
  </si>
  <si>
    <t>Flexive R2</t>
  </si>
  <si>
    <t>Improved R2</t>
  </si>
  <si>
    <t>Trivate R2</t>
  </si>
  <si>
    <t>Pre-Flexive R3</t>
  </si>
  <si>
    <t>Flexive R3</t>
  </si>
  <si>
    <t>Improved R3</t>
  </si>
  <si>
    <t>Trivate R3</t>
  </si>
  <si>
    <t>Pre-Flexive R4</t>
  </si>
  <si>
    <t>Flexive R4</t>
  </si>
  <si>
    <t>Improved R4</t>
  </si>
  <si>
    <t>Trivate R4</t>
  </si>
  <si>
    <t>Pre-Flexive R5</t>
  </si>
  <si>
    <t>Flexive R5</t>
  </si>
  <si>
    <t>Improved R5</t>
  </si>
  <si>
    <t>Trivate R5</t>
  </si>
  <si>
    <t>Pre-Flexive R6</t>
  </si>
  <si>
    <t>Flexive R6</t>
  </si>
  <si>
    <t>Improved R6</t>
  </si>
  <si>
    <t>Trivate R6</t>
  </si>
  <si>
    <t>Energy factor (EnrgFac)</t>
  </si>
  <si>
    <t>Armor</t>
  </si>
  <si>
    <t>Factor</t>
  </si>
  <si>
    <t>Notes</t>
  </si>
  <si>
    <t>n/a</t>
  </si>
  <si>
    <t>Low-Energy Extractor</t>
  </si>
  <si>
    <t>Maxim Extractor</t>
  </si>
  <si>
    <t>Fueller Device</t>
  </si>
  <si>
    <t>Improved Extractor</t>
  </si>
  <si>
    <t>ProtoNanite Repair</t>
  </si>
  <si>
    <t>Partial Nanorepair</t>
  </si>
  <si>
    <t>Enhanced Nanorepair</t>
  </si>
  <si>
    <t>TRUE Nanorepair</t>
  </si>
  <si>
    <t>Nanorepair Glands</t>
  </si>
  <si>
    <t>Single-Band ECM</t>
  </si>
  <si>
    <t>Zerosignal Dampener</t>
  </si>
  <si>
    <t>AntiGravity Unit</t>
  </si>
  <si>
    <t>Overdrive Node</t>
  </si>
  <si>
    <t>Shield Amplifier</t>
  </si>
  <si>
    <t>Sensor Amplifier</t>
  </si>
  <si>
    <t>Bertrand Ore Extractor</t>
  </si>
  <si>
    <t>Active Offsrc Jamming</t>
  </si>
  <si>
    <t>Elec Image Displacer</t>
  </si>
  <si>
    <t>Variable Pulse Ghoster</t>
  </si>
  <si>
    <t>Resupply Drone v1</t>
  </si>
  <si>
    <t>Resupply Drone v2</t>
  </si>
  <si>
    <t>Resupply Drone v3</t>
  </si>
  <si>
    <t>Resupply Drone v4</t>
  </si>
  <si>
    <t>Resupply Drone v5</t>
  </si>
  <si>
    <t>Self Detonator (Juggernaut)</t>
  </si>
  <si>
    <t>Self Detonator (Reaper)</t>
  </si>
  <si>
    <t>Self Detonator (Giant &amp; Demon)</t>
  </si>
  <si>
    <t>Self Detonator (Sensei &amp; Ogre)</t>
  </si>
  <si>
    <t>Self Detonator (Shadow &amp; Remora)</t>
  </si>
  <si>
    <t>Repair Factor</t>
  </si>
  <si>
    <t>Energy to Start</t>
  </si>
  <si>
    <t>Energy per turn</t>
  </si>
  <si>
    <t>Required Rank</t>
  </si>
  <si>
    <t>Storage: 400 units. Retrieval: 90%. Extraction energy: 100%.</t>
  </si>
  <si>
    <t>Storage: 400 units. Retrieval: 90%. Extraction energy: 50%.</t>
  </si>
  <si>
    <t>Storage: 1600 units. Retrieval: 90%. Extraction energy: 100%.</t>
  </si>
  <si>
    <t>Storage: 500 units. Retrieval: 100%. Extraction energy: 130%.</t>
  </si>
  <si>
    <t>Storage: 1200 units. Retrieval: 100%. Extraction energy: 40%.</t>
  </si>
  <si>
    <t>150 units of Nanorepair</t>
  </si>
  <si>
    <t>250 units of Nanorepair</t>
  </si>
  <si>
    <t>350 units of Nanorepair</t>
  </si>
  <si>
    <t>400 units of Nanorepair</t>
  </si>
  <si>
    <t>450 units of Nanorepair</t>
  </si>
  <si>
    <t>Up to 250 damage points against shields or armor across 5 hex diameter.</t>
  </si>
  <si>
    <t>Up to 500 damage points against shields or armor across 7 hex diameter.</t>
  </si>
  <si>
    <t>Up to 1000 damage points against shields or armor across 7 hex diameter.</t>
  </si>
  <si>
    <t>Up to 1500 damage points against shields or armor across 7 hex diameter.</t>
  </si>
  <si>
    <t>Up to 2000 damage points against shields or armor across 7 hex diameter.</t>
  </si>
  <si>
    <t>Reduces opponent's chance to hit by 5%</t>
  </si>
  <si>
    <t>Reduces opponent's chance to hit by 10%</t>
  </si>
  <si>
    <t>Reduces opponent's chance to hit by 15%</t>
  </si>
  <si>
    <t>Reduces opponent's chance to hit by 20%</t>
  </si>
  <si>
    <t>Reduces opponent's chance to hit by 25%</t>
  </si>
  <si>
    <t>Makes effective gravity on Herc like a low-gravity world. Subtracts 125 points from gravity, with a minimum of 25% gravity.</t>
  </si>
  <si>
    <t>Restock: 2x. Max Range: 10 hexes.</t>
  </si>
  <si>
    <t>Restock: 10x. Max Range: 40 hexes.</t>
  </si>
  <si>
    <t>Restock: 8x. Max Range: 30 hexes.</t>
  </si>
  <si>
    <t>Restock: 6x. Max Range: 20 hexes.</t>
  </si>
  <si>
    <t>4x. Max Range: 20 hexes.</t>
  </si>
  <si>
    <t>Boosts drive efficiency by 15%</t>
  </si>
  <si>
    <t>Boosts shield regeneration by 50% + 50 points</t>
  </si>
  <si>
    <t>Boosts sensors by one hex radius</t>
  </si>
  <si>
    <t>Integrated</t>
  </si>
  <si>
    <t>Total</t>
  </si>
  <si>
    <t>Multishell</t>
  </si>
  <si>
    <t>Reactive</t>
  </si>
  <si>
    <t>Bioenviron</t>
  </si>
  <si>
    <t>Self-Repair</t>
  </si>
  <si>
    <t>Med Sys</t>
  </si>
  <si>
    <t>Liquid Life</t>
  </si>
  <si>
    <t>Health per-turn (HI)</t>
  </si>
  <si>
    <t>Cost per-turn (C/T)</t>
  </si>
  <si>
    <t>Stability per-turn (SI)</t>
  </si>
  <si>
    <t>Detoxing per-tun (DI)</t>
  </si>
  <si>
    <t>Base</t>
  </si>
  <si>
    <t>Energy generated per turn (EnrgD)</t>
  </si>
  <si>
    <t>Fission 100</t>
  </si>
  <si>
    <t>Fission 130</t>
  </si>
  <si>
    <t>Fission 200</t>
  </si>
  <si>
    <t>Fission 300</t>
  </si>
  <si>
    <t>Fission 350</t>
  </si>
  <si>
    <t>Fission 400</t>
  </si>
  <si>
    <t>Ion 130</t>
  </si>
  <si>
    <t>Ion 196</t>
  </si>
  <si>
    <t>Ion 260</t>
  </si>
  <si>
    <t>Ion 390</t>
  </si>
  <si>
    <t>Ion 455</t>
  </si>
  <si>
    <t>Ion 524</t>
  </si>
  <si>
    <t>Matter Conv 150</t>
  </si>
  <si>
    <t>Matter Conv 225</t>
  </si>
  <si>
    <t>Matter Conv 326</t>
  </si>
  <si>
    <t>Matter Conv 452</t>
  </si>
  <si>
    <t>Matter Conv 526</t>
  </si>
  <si>
    <t>Matter Conv 609</t>
  </si>
  <si>
    <t>Scout Adv 0m</t>
  </si>
  <si>
    <t>Scout 0m</t>
  </si>
  <si>
    <t>Crystal Mx</t>
  </si>
  <si>
    <t>Energy Cost (Enrg)</t>
  </si>
  <si>
    <t>Max Range (Max)</t>
  </si>
  <si>
    <t>Line of Sight (LOS)</t>
  </si>
  <si>
    <t>Best</t>
  </si>
  <si>
    <t>Good</t>
  </si>
  <si>
    <t>Poor</t>
  </si>
  <si>
    <t>Worst</t>
  </si>
  <si>
    <t>Fair</t>
  </si>
  <si>
    <t>Standard 722</t>
  </si>
  <si>
    <t>Standard 1214</t>
  </si>
  <si>
    <t>Standard 151</t>
  </si>
  <si>
    <t>Adv Crystal</t>
  </si>
  <si>
    <t>Scout 228</t>
  </si>
  <si>
    <t>Scout 306</t>
  </si>
  <si>
    <t>Scout 411</t>
  </si>
  <si>
    <t>Shield 300</t>
  </si>
  <si>
    <t>Shield 600</t>
  </si>
  <si>
    <t>Shield 900</t>
  </si>
  <si>
    <t>Shield 1200</t>
  </si>
  <si>
    <t>Shield 1500</t>
  </si>
  <si>
    <t>Shield 1950</t>
  </si>
  <si>
    <t>Shield 2400</t>
  </si>
  <si>
    <t>Shield 2850</t>
  </si>
  <si>
    <t>Shield 3300</t>
  </si>
  <si>
    <t>Shield 3900</t>
  </si>
  <si>
    <t>Max shield pool (Max)</t>
  </si>
  <si>
    <t>Shield recharge (Shld)</t>
  </si>
  <si>
    <t>Energy cost  (Enrg)</t>
  </si>
  <si>
    <t>Bertrand-Altase</t>
  </si>
  <si>
    <t>Lock-On 100</t>
  </si>
  <si>
    <t>Lock-On 205</t>
  </si>
  <si>
    <t>Lock-On 440</t>
  </si>
  <si>
    <t>Quickfire 11</t>
  </si>
  <si>
    <t>Quickfire 11A</t>
  </si>
  <si>
    <t>Lock-On 1000</t>
  </si>
  <si>
    <t>Image Enhancement</t>
  </si>
  <si>
    <t>TRUE Lock</t>
  </si>
  <si>
    <t>Fire Control Manager</t>
  </si>
  <si>
    <t>Quickfire 3000</t>
  </si>
  <si>
    <t>Repair cost (Rep)</t>
  </si>
  <si>
    <t>Hit bonus percentage (Hit)</t>
  </si>
  <si>
    <t>Energy auto-used (Enrg)</t>
  </si>
  <si>
    <t>Ammo</t>
  </si>
  <si>
    <t>No</t>
  </si>
  <si>
    <t>To Hit</t>
  </si>
  <si>
    <t>SE400 Laser Cannon</t>
  </si>
  <si>
    <t>Damage</t>
  </si>
  <si>
    <t>SE660 Laser Cannon</t>
  </si>
  <si>
    <t>SG Missile Launcher</t>
  </si>
  <si>
    <t>None</t>
  </si>
  <si>
    <t>SP Missile Launcher</t>
  </si>
  <si>
    <t>200mm HEAP Gun</t>
  </si>
  <si>
    <t>30mm Rapid-Fire Chain Gun</t>
  </si>
  <si>
    <t>40mm "Ranger" Cannon</t>
  </si>
  <si>
    <t>Blast Mortar</t>
  </si>
  <si>
    <t>ElectroFlechette Cannon (EFCannon)</t>
  </si>
  <si>
    <t>ElectroMagnetic Pulse Cannon (EMP)</t>
  </si>
  <si>
    <t>Heavy Electron Flux Whip (ELF)</t>
  </si>
  <si>
    <t>Jihad Missile System</t>
  </si>
  <si>
    <t>Light Electron Flux Whip (ELF)</t>
  </si>
  <si>
    <t>Medium Electron Flux Whip (ELF)</t>
  </si>
  <si>
    <t>MY Missile Launcher</t>
  </si>
  <si>
    <t>SE1000 Laser Cannon</t>
  </si>
  <si>
    <t>MicroMissile Launcher</t>
  </si>
  <si>
    <t>SC1000 Compression Laser</t>
  </si>
  <si>
    <t>SC400 Compression Laser</t>
  </si>
  <si>
    <t>SCX Heavy Compression Laser</t>
  </si>
  <si>
    <t>Automatic Electromagnetic Flux</t>
  </si>
  <si>
    <t>Heavy Plasma Cannon</t>
  </si>
  <si>
    <t>Plasma Cannon</t>
  </si>
  <si>
    <t>SP2 Heavy Missile Launcher</t>
  </si>
  <si>
    <t>210mm X-HEAP Cannon</t>
  </si>
  <si>
    <t>260mm Auto-Mortar</t>
  </si>
  <si>
    <t>Devastator Chain Gun</t>
  </si>
  <si>
    <t>Electromagnetic Pulse Beamer</t>
  </si>
  <si>
    <t>Katyusha-Z Rocket System</t>
  </si>
  <si>
    <t>Particle Beam Weapon (PBW)</t>
  </si>
  <si>
    <t>Chain Electromagnetic Flux</t>
  </si>
  <si>
    <t>Heavy Particle Gun (HPG)</t>
  </si>
  <si>
    <t>Light Particle Gun (LPG)</t>
  </si>
  <si>
    <t>Medium Particle Gun (MPG)</t>
  </si>
  <si>
    <t>90mm Accelerator Cannon</t>
  </si>
  <si>
    <t>Super Heavy Particle Gun (SHPG)</t>
  </si>
  <si>
    <t>Saturation Missile Launcher</t>
  </si>
  <si>
    <t>SP-X Rapid Missile System</t>
  </si>
  <si>
    <t>SP1200 Magna Pulse Laser</t>
  </si>
  <si>
    <t>SP500 Light Pulse Laser</t>
  </si>
  <si>
    <t>SP750 Standard Pulse Laser</t>
  </si>
  <si>
    <t>Hunter-Killer Missile Launcher</t>
  </si>
  <si>
    <t>Neutron Beam Weapon (NBW)</t>
  </si>
  <si>
    <t>Neutron Gun</t>
  </si>
  <si>
    <t>Plasma Beam</t>
  </si>
  <si>
    <t>Plasma Mortar</t>
  </si>
  <si>
    <t>SE700 Laser Gatling</t>
  </si>
  <si>
    <t>Fusion Annihilator</t>
  </si>
  <si>
    <t>Fusion Cannon</t>
  </si>
  <si>
    <t>Fusion Flamer</t>
  </si>
  <si>
    <t>SP800 Pulse Laser Gatling</t>
  </si>
  <si>
    <t>Thermal Lance</t>
  </si>
  <si>
    <t>Electromagnetic Pulse Blaster</t>
  </si>
  <si>
    <t>Hunter-Killer Rapid Missile System</t>
  </si>
  <si>
    <t>Thermal Needler</t>
  </si>
  <si>
    <t>100mm Accelerator Chain Gun</t>
  </si>
  <si>
    <t>Electromagnetic Flux Mortar</t>
  </si>
  <si>
    <t>Fusion Mortar</t>
  </si>
  <si>
    <t>Heavy Saturation Rocket System</t>
  </si>
  <si>
    <t>Heavy Compression Blaster</t>
  </si>
  <si>
    <t>HOG Missile Launcher</t>
  </si>
  <si>
    <t>Light Compression Blaster</t>
  </si>
  <si>
    <t>Fusion Gatling</t>
  </si>
  <si>
    <t>280mm ATX</t>
  </si>
  <si>
    <t>Rapid Saturation Rocket System</t>
  </si>
  <si>
    <t>% Repair cost (Rep%)</t>
  </si>
  <si>
    <t>Rate of Fire (ROF)</t>
  </si>
  <si>
    <t>Max range (MR)</t>
  </si>
  <si>
    <t>Indirect Fire</t>
  </si>
  <si>
    <t>Bioderm Skill</t>
  </si>
  <si>
    <t>Damage @ 0 hex range (D@0)</t>
  </si>
  <si>
    <t>Damage @ 1 hex range (D@1)</t>
  </si>
  <si>
    <t>Damage @ 2 hex range (D@2)</t>
  </si>
  <si>
    <t>Damage @ 3 hex range (D@3)</t>
  </si>
  <si>
    <t>Number of hits (H/s)</t>
  </si>
  <si>
    <t>Damage carried over from shields (DC%)</t>
  </si>
  <si>
    <t>Shield Penetration (DP)</t>
  </si>
  <si>
    <t>Damage to Armor (DvA)</t>
  </si>
  <si>
    <t>Damage to Shields (DvS)</t>
  </si>
  <si>
    <t>Energy to fire (En/S)</t>
  </si>
  <si>
    <t>Damage to inoperable (Dis%)</t>
  </si>
  <si>
    <t xml:space="preserve">Yes </t>
  </si>
  <si>
    <t>20mm Light AutoCannon</t>
  </si>
  <si>
    <t>50mm AutoCannon</t>
  </si>
  <si>
    <t>120mm Heavy AutoCannon</t>
  </si>
  <si>
    <t>ATN AutoCannon</t>
  </si>
  <si>
    <t>Advanced Tech</t>
  </si>
  <si>
    <t>Damage on Miss</t>
  </si>
  <si>
    <t>Damage affecting accuracy or damage(DamagE)</t>
  </si>
  <si>
    <t>Damage Increment (DI)</t>
  </si>
  <si>
    <t>Range Increment (RI)</t>
  </si>
  <si>
    <t>Command Node v1</t>
  </si>
  <si>
    <t>Armor Factor</t>
  </si>
  <si>
    <t>Armor Factor (Afac)</t>
  </si>
  <si>
    <t>Armor type</t>
  </si>
  <si>
    <t>Shields</t>
  </si>
  <si>
    <t>Targeting Computer</t>
  </si>
  <si>
    <t>Weapon Type</t>
  </si>
  <si>
    <t>Boosts all cybrid targetting by 6%</t>
  </si>
  <si>
    <t>Boosts all cybrid targetting by 9%</t>
  </si>
  <si>
    <t>Boosts all cybrid targetting by 12%</t>
  </si>
  <si>
    <t>Boosts all cybrid targetting by 15%</t>
  </si>
  <si>
    <t>Command Node v2</t>
  </si>
  <si>
    <t>Command Node v3</t>
  </si>
  <si>
    <t>Command Node v4</t>
  </si>
  <si>
    <t>Research Node</t>
  </si>
  <si>
    <t>Sensor Array</t>
  </si>
  <si>
    <t>Manufacturing Node</t>
  </si>
  <si>
    <t>Didrate 17.8cm</t>
  </si>
  <si>
    <t>Processing Node v1</t>
  </si>
  <si>
    <t>Processing Node v2</t>
  </si>
  <si>
    <t>Processing Node v3</t>
  </si>
  <si>
    <t>Processing Node v4</t>
  </si>
  <si>
    <t>Boosts all cybrid targetting by 3%</t>
  </si>
  <si>
    <t>Construction v1</t>
  </si>
  <si>
    <t>Construction v2</t>
  </si>
  <si>
    <t>Construction v3</t>
  </si>
  <si>
    <t>Construction v4</t>
  </si>
  <si>
    <t>Construction v5</t>
  </si>
  <si>
    <t>Constructs up to 1 Verminus every 4 turns</t>
  </si>
  <si>
    <t>Constructs up to 1 Verminus every 2 turns</t>
  </si>
  <si>
    <t>Constructs up to 1 Verminus every turn</t>
  </si>
  <si>
    <t>Constructs up to 2 Verminus every turn</t>
  </si>
  <si>
    <t>Constructs up to 3 Verminus every turn</t>
  </si>
  <si>
    <t>Heavy Turret v1</t>
  </si>
  <si>
    <t>Heavy Turret v2</t>
  </si>
  <si>
    <t>Heavy Turret v3</t>
  </si>
  <si>
    <t>Heavy Turret v4</t>
  </si>
  <si>
    <t>Heavy Turret v5</t>
  </si>
  <si>
    <t>QuickFire 11A</t>
  </si>
  <si>
    <t>QuickFire 11</t>
  </si>
  <si>
    <t>SE1000 Laser</t>
  </si>
  <si>
    <t>120mm Autocannon</t>
  </si>
  <si>
    <t>SCX Heavy Compress Laser</t>
  </si>
  <si>
    <t>Magna Pulse Laser(SP1200)</t>
  </si>
  <si>
    <t>Heavy Particle Gun(HPG)</t>
  </si>
  <si>
    <t>Heavy Comp Blaster(HCBlaster)</t>
  </si>
  <si>
    <t>Light Turret v1</t>
  </si>
  <si>
    <t>Light Turret v2</t>
  </si>
  <si>
    <t>Light Turret v3</t>
  </si>
  <si>
    <t>Light Turret v4</t>
  </si>
  <si>
    <t>Light Turret v5</t>
  </si>
  <si>
    <t>Light Comp Blaster(LCBlaster)</t>
  </si>
  <si>
    <t>Light Particle Gun(LPG)</t>
  </si>
  <si>
    <t>Light Pulse Laser(SP500)</t>
  </si>
  <si>
    <t>20mm Autocannon</t>
  </si>
  <si>
    <t>SE400 Laser</t>
  </si>
  <si>
    <t>Missile Turret v1</t>
  </si>
  <si>
    <t>Missile Turret v2</t>
  </si>
  <si>
    <t>Missile Turret v3</t>
  </si>
  <si>
    <t>Missile Turret v4</t>
  </si>
  <si>
    <t>Missile Turret v5</t>
  </si>
  <si>
    <t>SP-2 Heavy Missile Launcher</t>
  </si>
  <si>
    <t>Weapon Type2</t>
  </si>
  <si>
    <t>Weapon Type3</t>
  </si>
  <si>
    <t>Weapon Type4</t>
  </si>
  <si>
    <t>Weapon Type5</t>
  </si>
  <si>
    <t>Weapon Type6</t>
  </si>
  <si>
    <t>Weapon Type7</t>
  </si>
  <si>
    <t>Weapon Type8</t>
  </si>
  <si>
    <t>Movement</t>
  </si>
  <si>
    <t>Favorite Range (Min)</t>
  </si>
  <si>
    <t>Favorite Range (Max)</t>
  </si>
  <si>
    <t>Armor Type</t>
  </si>
  <si>
    <t>Limbs</t>
  </si>
  <si>
    <t>Reactor Type</t>
  </si>
  <si>
    <t>Shield Factor</t>
  </si>
  <si>
    <t>Target Comp</t>
  </si>
  <si>
    <t>Mining device</t>
  </si>
  <si>
    <t>50mm Autocannon</t>
  </si>
  <si>
    <t>SE660 Laser</t>
  </si>
  <si>
    <t>Specter v1</t>
  </si>
  <si>
    <t>Rank Required</t>
  </si>
  <si>
    <t>Specter v2</t>
  </si>
  <si>
    <t>Specter v3</t>
  </si>
  <si>
    <t>Specter v4</t>
  </si>
  <si>
    <t>Specter v5</t>
  </si>
  <si>
    <t>Specter v6</t>
  </si>
  <si>
    <t>100MM Accelerator Chaingun</t>
  </si>
  <si>
    <t>Neutron Beam Weapon(NBW)</t>
  </si>
  <si>
    <t>Matter Conversion 150</t>
  </si>
  <si>
    <t>3rd Elite Military</t>
  </si>
  <si>
    <t>Parasite v1</t>
  </si>
  <si>
    <t>Parasite v2</t>
  </si>
  <si>
    <t>Parasite v3</t>
  </si>
  <si>
    <t>Parasite v4</t>
  </si>
  <si>
    <t>Parasite v5</t>
  </si>
  <si>
    <t>Crystalline</t>
  </si>
  <si>
    <t>Parasite v6</t>
  </si>
  <si>
    <t>Cerebrus v1</t>
  </si>
  <si>
    <t>20mm Light Autocannon</t>
  </si>
  <si>
    <t>Cerebrus v2</t>
  </si>
  <si>
    <t>Cerebrus v3</t>
  </si>
  <si>
    <t>Cerebrus v4</t>
  </si>
  <si>
    <t>Adv. Heat Diff.</t>
  </si>
  <si>
    <t>Cerebrus v5</t>
  </si>
  <si>
    <t>Matter Conversion 225</t>
  </si>
  <si>
    <t>Cerebrus v6</t>
  </si>
  <si>
    <t>Electron Flux Mortar</t>
  </si>
  <si>
    <t>Arachnus v1</t>
  </si>
  <si>
    <t>Arachnus v2</t>
  </si>
  <si>
    <t>Arachnus v3</t>
  </si>
  <si>
    <t>Arachnus v4</t>
  </si>
  <si>
    <t>Arachnus v5</t>
  </si>
  <si>
    <t>Matter Conversion 326</t>
  </si>
  <si>
    <t>Arachnus v6</t>
  </si>
  <si>
    <t>Genocite v1</t>
  </si>
  <si>
    <t>120mm Heavy Autocannon</t>
  </si>
  <si>
    <t>Genocite v2</t>
  </si>
  <si>
    <t>Genocite v3</t>
  </si>
  <si>
    <t>Genocite v4</t>
  </si>
  <si>
    <t>Genocite v5</t>
  </si>
  <si>
    <t>EMP Beamer</t>
  </si>
  <si>
    <t>Genocite v6</t>
  </si>
  <si>
    <t>Medium Particle Gun(LPG)</t>
  </si>
  <si>
    <t>Malignus v1</t>
  </si>
  <si>
    <t>Malignus v2</t>
  </si>
  <si>
    <t>Katyushka-Z Rocket System</t>
  </si>
  <si>
    <t>Malignus v3</t>
  </si>
  <si>
    <t>Malignus v4</t>
  </si>
  <si>
    <t>Malignus v5</t>
  </si>
  <si>
    <t>Matter Conversion 452</t>
  </si>
  <si>
    <t>Malignus v6</t>
  </si>
  <si>
    <t>Hades v1</t>
  </si>
  <si>
    <t>Hades v2</t>
  </si>
  <si>
    <t>Hades v3</t>
  </si>
  <si>
    <t>Matter Conversion 526</t>
  </si>
  <si>
    <t>Hades v4</t>
  </si>
  <si>
    <t>Hades v5</t>
  </si>
  <si>
    <t>Hades v6</t>
  </si>
  <si>
    <t>100mm Accelerator Chaingun</t>
  </si>
  <si>
    <t>Nihilus v1</t>
  </si>
  <si>
    <t>Nihilus v2</t>
  </si>
  <si>
    <t>Nihilus v3</t>
  </si>
  <si>
    <t>Matter Conversion 609</t>
  </si>
  <si>
    <t>Nihilus v4</t>
  </si>
  <si>
    <t>Nihilus v5</t>
  </si>
  <si>
    <t>Medium Particle Gun(MPG)</t>
  </si>
  <si>
    <t>Nihilus v6</t>
  </si>
  <si>
    <t>Verminus v1</t>
  </si>
  <si>
    <t>Medium Electron Flux Whip</t>
  </si>
  <si>
    <t>Self Detonator</t>
  </si>
  <si>
    <t>Verminus v2</t>
  </si>
  <si>
    <t>Verminus v3</t>
  </si>
  <si>
    <t>Hunter-Killer Missile Launche</t>
  </si>
  <si>
    <t>Internal</t>
  </si>
  <si>
    <t>Lock-On 203</t>
  </si>
  <si>
    <t>Lock-On 204</t>
  </si>
  <si>
    <t xml:space="preserve">Clearplast   </t>
  </si>
  <si>
    <t xml:space="preserve">Clearplast </t>
  </si>
  <si>
    <t>Single Band ECM</t>
  </si>
  <si>
    <t>(3)Active Offsrc Jamming</t>
  </si>
  <si>
    <t>Internal2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</si>
</sst>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textRotation="45"/>
    </xf>
    <xf numFmtId="0" fontId="1" fillId="2" borderId="1" xfId="0" applyFont="1" applyFill="1" applyBorder="1" applyAlignment="1">
      <alignment textRotation="45"/>
    </xf>
    <xf numFmtId="0" fontId="1" fillId="2" borderId="2" xfId="0" applyFont="1" applyFill="1" applyBorder="1" applyAlignment="1">
      <alignment textRotation="45"/>
    </xf>
    <xf numFmtId="0" fontId="0" fillId="3" borderId="0" xfId="0" applyFill="1"/>
    <xf numFmtId="1" fontId="0" fillId="0" borderId="0" xfId="0" applyNumberFormat="1"/>
    <xf numFmtId="1" fontId="0" fillId="0" borderId="0" xfId="0" applyNumberFormat="1" applyAlignment="1">
      <alignment textRotation="45"/>
    </xf>
    <xf numFmtId="0" fontId="0" fillId="4" borderId="1" xfId="0" applyFont="1" applyFill="1" applyBorder="1"/>
    <xf numFmtId="0" fontId="0" fillId="0" borderId="1" xfId="0" applyFont="1" applyBorder="1"/>
    <xf numFmtId="0" fontId="0" fillId="4" borderId="0" xfId="0" applyFont="1" applyFill="1" applyBorder="1"/>
  </cellXfs>
  <cellStyles count="1">
    <cellStyle name="Normal" xfId="0" builtinId="0"/>
  </cellStyles>
  <dxfs count="16">
    <dxf>
      <alignment horizontal="general" vertical="bottom" textRotation="45" wrapText="0" indent="0" justifyLastLine="0" shrinkToFit="0" readingOrder="0"/>
    </dxf>
    <dxf>
      <alignment horizontal="general" vertical="bottom" textRotation="45" wrapText="0" indent="0" justifyLastLine="0" shrinkToFit="0" readingOrder="0"/>
    </dxf>
    <dxf>
      <alignment horizontal="general" vertical="bottom" textRotation="45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45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45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45" wrapText="0" indent="0" justifyLastLine="0" shrinkToFit="0" readingOrder="0"/>
    </dxf>
    <dxf>
      <alignment horizontal="general" vertical="bottom" textRotation="45" wrapText="0" indent="0" justifyLastLine="0" shrinkToFit="0" readingOrder="0"/>
    </dxf>
    <dxf>
      <alignment horizontal="general" vertical="bottom" textRotation="45" wrapText="0" indent="0" justifyLastLine="0" shrinkToFit="0" readingOrder="0"/>
    </dxf>
    <dxf>
      <alignment horizontal="general" vertical="bottom" textRotation="45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45" wrapText="0" indent="0" justifyLastLine="0" shrinkToFit="0" readingOrder="0"/>
    </dxf>
    <dxf>
      <alignment horizontal="general" vertical="bottom" textRotation="45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45" wrapText="0" indent="0" justifyLastLine="0" shrinkToFit="0" readingOrder="0"/>
    </dxf>
    <dxf>
      <alignment horizontal="general" vertical="bottom" textRotation="45" wrapText="0" indent="0" justifyLastLine="0" shrinkToFit="0" readingOrder="0"/>
    </dxf>
    <dxf>
      <alignment horizontal="general" vertical="bottom" textRotation="45" wrapText="0" indent="0" justifyLastLine="0" shrinkToFit="0" readingOrder="0"/>
    </dxf>
    <dxf>
      <numFmt numFmtId="1" formatCode="0"/>
    </dxf>
    <dxf>
      <alignment horizontal="general" vertical="bottom" textRotation="45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Targeting Computer (Current)</a:t>
            </a:r>
            <a:endParaRPr lang="en-US" sz="1400" b="0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Armor factor (Afac)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Sheet1!$A$2:$A$12</c:f>
              <c:numCache>
                <c:formatCode>General</c:formatCode>
                <c:ptCount val="11"/>
                <c:pt idx="0">
                  <c:v>200</c:v>
                </c:pt>
                <c:pt idx="1">
                  <c:v>1000</c:v>
                </c:pt>
                <c:pt idx="2">
                  <c:v>800</c:v>
                </c:pt>
                <c:pt idx="3">
                  <c:v>750</c:v>
                </c:pt>
                <c:pt idx="4">
                  <c:v>650</c:v>
                </c:pt>
                <c:pt idx="5">
                  <c:v>580</c:v>
                </c:pt>
                <c:pt idx="6">
                  <c:v>490</c:v>
                </c:pt>
                <c:pt idx="7">
                  <c:v>420</c:v>
                </c:pt>
                <c:pt idx="8">
                  <c:v>370</c:v>
                </c:pt>
                <c:pt idx="9">
                  <c:v>323</c:v>
                </c:pt>
                <c:pt idx="10">
                  <c:v>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A-4950-8DBE-08A7C62D9A83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Weight (Wt)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Sheet1!$B$2:$B$12</c:f>
              <c:numCache>
                <c:formatCode>General</c:formatCode>
                <c:ptCount val="11"/>
                <c:pt idx="0">
                  <c:v>50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100</c:v>
                </c:pt>
                <c:pt idx="5">
                  <c:v>100</c:v>
                </c:pt>
                <c:pt idx="6">
                  <c:v>150</c:v>
                </c:pt>
                <c:pt idx="7">
                  <c:v>0</c:v>
                </c:pt>
                <c:pt idx="8">
                  <c:v>400</c:v>
                </c:pt>
                <c:pt idx="9">
                  <c:v>600</c:v>
                </c:pt>
                <c:pt idx="10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A-4950-8DBE-08A7C62D9A83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Repair cost (Rep)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Sheet1!$D$2:$D$12</c:f>
              <c:numCache>
                <c:formatCode>General</c:formatCode>
                <c:ptCount val="11"/>
                <c:pt idx="0">
                  <c:v>50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100</c:v>
                </c:pt>
                <c:pt idx="8">
                  <c:v>90</c:v>
                </c:pt>
                <c:pt idx="9">
                  <c:v>100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3A-4950-8DBE-08A7C62D9A83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Hit bonus percentage (Hit)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Sheet1!$E$2:$E$12</c:f>
              <c:numCache>
                <c:formatCode>General</c:formatCode>
                <c:ptCount val="11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14</c:v>
                </c:pt>
                <c:pt idx="4">
                  <c:v>18</c:v>
                </c:pt>
                <c:pt idx="5">
                  <c:v>23</c:v>
                </c:pt>
                <c:pt idx="6">
                  <c:v>27</c:v>
                </c:pt>
                <c:pt idx="7">
                  <c:v>32</c:v>
                </c:pt>
                <c:pt idx="8">
                  <c:v>36</c:v>
                </c:pt>
                <c:pt idx="9">
                  <c:v>41</c:v>
                </c:pt>
                <c:pt idx="10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3A-4950-8DBE-08A7C62D9A83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Energy auto-used (Enrg)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Sheet1!$F$2:$F$12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3A-4950-8DBE-08A7C62D9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665711"/>
        <c:axId val="131127147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Cost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Sheet1!$C$2:$C$12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50</c:v>
                      </c:pt>
                      <c:pt idx="1">
                        <c:v>100</c:v>
                      </c:pt>
                      <c:pt idx="2">
                        <c:v>250</c:v>
                      </c:pt>
                      <c:pt idx="3">
                        <c:v>650</c:v>
                      </c:pt>
                      <c:pt idx="4">
                        <c:v>1200</c:v>
                      </c:pt>
                      <c:pt idx="5">
                        <c:v>1875</c:v>
                      </c:pt>
                      <c:pt idx="6">
                        <c:v>2490</c:v>
                      </c:pt>
                      <c:pt idx="7">
                        <c:v>3105</c:v>
                      </c:pt>
                      <c:pt idx="8">
                        <c:v>4230</c:v>
                      </c:pt>
                      <c:pt idx="9">
                        <c:v>5175</c:v>
                      </c:pt>
                      <c:pt idx="10">
                        <c:v>7275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13A-4950-8DBE-08A7C62D9A83}"/>
                  </c:ext>
                </c:extLst>
              </c15:ser>
            </c15:filteredLineSeries>
          </c:ext>
        </c:extLst>
      </c:lineChart>
      <c:catAx>
        <c:axId val="1309665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1471"/>
        <c:crosses val="autoZero"/>
        <c:auto val="1"/>
        <c:lblAlgn val="ctr"/>
        <c:lblOffset val="100"/>
        <c:noMultiLvlLbl val="0"/>
      </c:catAx>
      <c:valAx>
        <c:axId val="131127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66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152400</xdr:rowOff>
    </xdr:from>
    <xdr:to>
      <xdr:col>20</xdr:col>
      <xdr:colOff>123825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3AF6F4-85CC-7268-30F7-38C0F5CB7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6BF9D6-E983-4CC9-8B08-825EC99B49F0}" name="Table1" displayName="Table1" ref="A1:R32" totalsRowShown="0" headerRowDxfId="13">
  <autoFilter ref="A1:R32" xr:uid="{0A6BF9D6-E983-4CC9-8B08-825EC99B49F0}"/>
  <tableColumns count="18">
    <tableColumn id="1" xr3:uid="{EF5CF43C-E22A-45CE-B5DD-76BA7A684A84}" name="Armor Name"/>
    <tableColumn id="2" xr3:uid="{3EF0CE70-3F16-493D-A1F6-AF2DE5C63EE7}" name="Required rank (RK)"/>
    <tableColumn id="3" xr3:uid="{70467C95-416F-40DA-A1A9-9AEE63CDDF53}" name="Cost"/>
    <tableColumn id="4" xr3:uid="{E2D3089C-73E4-4AFB-82AA-0D796963A674}" name="Weight (Wt)"/>
    <tableColumn id="5" xr3:uid="{4E477514-0FB6-4C9E-BDA8-25A6BC773A42}" name="Special Armor"/>
    <tableColumn id="6" xr3:uid="{7B0EB2DA-E92C-4440-86D5-2276477D12A1}" name="HEX Reinforcement"/>
    <tableColumn id="7" xr3:uid="{24418506-E43F-48ED-A6C9-C70ABA97E172}" name="Percent of damage deflected @ 100% (D100)"/>
    <tableColumn id="8" xr3:uid="{119B19C6-387E-4BA9-BFD0-18AC3C668903}" name="Percent of damage deflected @ 0% (D0)"/>
    <tableColumn id="9" xr3:uid="{498FC811-2893-458D-929B-258148BAC013}" name="Amount of damage subtracted @ 100% (S100)"/>
    <tableColumn id="10" xr3:uid="{94CA99F3-CFAE-4351-BE64-0C7A9B9BDA70}" name="Amount of damage subtracted @ 0% (S0)"/>
    <tableColumn id="11" xr3:uid="{0CB048E1-3C3B-4A17-B55A-A40288234077}" name="Shadow"/>
    <tableColumn id="12" xr3:uid="{DA0D6EF7-4F40-4EF4-A9D7-5FE5BA5F777B}" name="Remora"/>
    <tableColumn id="13" xr3:uid="{335FF979-3063-4EF3-A46C-CF9DF278AAC3}" name="Sensei"/>
    <tableColumn id="14" xr3:uid="{31326A7B-4CAF-499C-B534-1E1234CA82A9}" name="Ogre"/>
    <tableColumn id="15" xr3:uid="{378D1110-9F5E-4211-A053-FCF968393653}" name="Giant"/>
    <tableColumn id="16" xr3:uid="{9042298E-4ECB-4EEA-9282-056E59EC2F23}" name="Demon"/>
    <tableColumn id="17" xr3:uid="{1F881C68-AC11-437A-B691-387C1A4A0DBD}" name="Reaper"/>
    <tableColumn id="18" xr3:uid="{CEE41EF9-8414-4681-8326-98A8728B02CD}" name="Juggernau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6A34AF-5F0A-4FE8-83A0-BBA8C94C8EFC}" name="Table2" displayName="Table2" ref="A1:H9" totalsRowShown="0" headerRowDxfId="12">
  <autoFilter ref="A1:H9" xr:uid="{CE6A34AF-5F0A-4FE8-83A0-BBA8C94C8EFC}"/>
  <tableColumns count="8">
    <tableColumn id="1" xr3:uid="{894B8D38-23F8-4FB2-B0FA-DF10FBD75467}" name="Name"/>
    <tableColumn id="2" xr3:uid="{DDB8231E-8F59-41CB-B79F-D235066CC082}" name="Energy"/>
    <tableColumn id="3" xr3:uid="{14B5DA76-0C7B-40DF-A94F-35FDB542FC7D}" name="Missile"/>
    <tableColumn id="4" xr3:uid="{DDB49183-1CAB-4DBA-8A25-92D4D4269D00}" name="Cannon"/>
    <tableColumn id="5" xr3:uid="{93CB5935-8209-455D-805A-7E63E8326C3B}" name="Plasma"/>
    <tableColumn id="6" xr3:uid="{0B603E13-53EB-4F6C-8AC9-F18B3EF8F426}" name="ELF"/>
    <tableColumn id="7" xr3:uid="{78A0ED22-42A9-4178-AF42-639301394058}" name="AdvTech"/>
    <tableColumn id="8" xr3:uid="{28125A9A-8215-4277-8AC1-814DC174B43B}" name="Bom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63448B-5527-4954-9361-384FF0B7AD46}" name="Table3" displayName="Table3" ref="A1:N25" totalsRowShown="0" headerRowDxfId="11">
  <autoFilter ref="A1:N25" xr:uid="{C763448B-5527-4954-9361-384FF0B7AD46}"/>
  <tableColumns count="14">
    <tableColumn id="1" xr3:uid="{86252472-284D-4A02-9EAE-5AD7C5E24839}" name="Name"/>
    <tableColumn id="2" xr3:uid="{0F9E54DB-44E9-40AF-B2FF-EC2CEDD87DC3}" name="Rank"/>
    <tableColumn id="3" xr3:uid="{4BF520F1-BCE8-475A-96DE-675E76D2330D}" name="Armor factor (Afac)"/>
    <tableColumn id="4" xr3:uid="{FFB19991-122C-4AB0-8B60-4D1B6EFBD948}" name="Weight (Wt)"/>
    <tableColumn id="5" xr3:uid="{3953D440-D1A5-4A7A-9642-687D4584A901}" name="Cost"/>
    <tableColumn id="6" xr3:uid="{DCC224AA-F236-4E12-B71B-0D8FA23CD2A3}" name="Max battery storage (Max)"/>
    <tableColumn id="7" xr3:uid="{49743D3F-10CC-46DB-888B-881E529541EE}" name="Shadow"/>
    <tableColumn id="8" xr3:uid="{1B75C2D5-EB1E-4FFD-8253-C6F2C3C63B42}" name="Remora"/>
    <tableColumn id="9" xr3:uid="{D49DB611-2BDF-4AB2-B109-80C379F12DD6}" name="Sensei"/>
    <tableColumn id="10" xr3:uid="{CC7ADAAC-0BC3-4262-B2EC-4CD176D1AD29}" name="Ogre"/>
    <tableColumn id="11" xr3:uid="{66EACB58-FAD0-4FE4-B74C-EE48DAA886A0}" name="Giant"/>
    <tableColumn id="12" xr3:uid="{E227C4F4-E22B-4507-BF86-9FE50D33E4DF}" name="Demon"/>
    <tableColumn id="13" xr3:uid="{17844E70-2CF1-46EF-8915-E7119383842E}" name="Reaper"/>
    <tableColumn id="14" xr3:uid="{0D88BEFF-4E40-4BE6-AFF3-E52BE3044253}" name="Juggernau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CBBC96-53C6-4FFA-AA38-911C2F383384}" name="Table4" displayName="Table4" ref="A1:G9" totalsRowShown="0" headerRowDxfId="10">
  <autoFilter ref="A1:G9" xr:uid="{6ECBBC96-53C6-4FFA-AA38-911C2F383384}"/>
  <tableColumns count="7">
    <tableColumn id="1" xr3:uid="{0C98ED8E-8808-476D-BC5B-4E5B4020FF29}" name="Type"/>
    <tableColumn id="2" xr3:uid="{EEA16C37-4E99-46F3-8164-3CD8C17B5DCF}" name="Rank (Rk)"/>
    <tableColumn id="3" xr3:uid="{B4A21D7D-E58F-4F33-96C7-D8CC720A84E1}" name="Armor factor (Afac)"/>
    <tableColumn id="4" xr3:uid="{6422A55D-B8E3-4F08-B8BB-72264EBFCB14}" name="Weight"/>
    <tableColumn id="5" xr3:uid="{0F6E04B6-2878-4576-88C5-0B77B0EDB583}" name="Cost"/>
    <tableColumn id="6" xr3:uid="{3C4CC81A-A927-49C2-B35E-C9058FF9B09B}" name="Jump costs (Jump)"/>
    <tableColumn id="7" xr3:uid="{3AD054EE-FDC3-4088-99E2-70260AA3D673}" name="Crouch costs (Crch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A62085-CDB5-4D66-B01E-7004BE89768C}" name="Table5" displayName="Table5" ref="A1:N25" totalsRowShown="0" headerRowDxfId="9">
  <autoFilter ref="A1:N25" xr:uid="{25A62085-CDB5-4D66-B01E-7004BE89768C}"/>
  <tableColumns count="14">
    <tableColumn id="1" xr3:uid="{928CEAA5-B1C6-44C6-92CC-76EA16B1F0DF}" name="Name"/>
    <tableColumn id="2" xr3:uid="{80C7B2E7-8CB0-4514-AF59-74DCFB5F0F26}" name="Rank"/>
    <tableColumn id="3" xr3:uid="{5252433D-1F3E-4839-95AE-7043CC02A367}" name="Armor factor (Afac)"/>
    <tableColumn id="4" xr3:uid="{BF824541-E465-4E89-88EE-1C0FD02C9A49}" name="Weight (Wt)"/>
    <tableColumn id="5" xr3:uid="{AD5022C8-BD57-41E6-A0F0-BD6DB5B83AA1}" name="Cost"/>
    <tableColumn id="6" xr3:uid="{EF370A62-BEE7-4E0B-B3A3-DA0592CA0B21}" name="Energy factor (EnrgFac)"/>
    <tableColumn id="7" xr3:uid="{3CDC7A76-C786-43BA-84EB-1FE322BFC924}" name="Shadow"/>
    <tableColumn id="8" xr3:uid="{3360D2AD-718A-4E85-B005-D5A96C10D801}" name="Remora"/>
    <tableColumn id="9" xr3:uid="{3BDFE939-112C-485E-BEC4-44E8442C1AD3}" name="Sensei"/>
    <tableColumn id="10" xr3:uid="{7BEE907B-3822-4433-AE28-187F3219F535}" name="Ogre"/>
    <tableColumn id="11" xr3:uid="{4498AE15-5BA6-496A-BD88-AEA3FF9369FE}" name="Giant"/>
    <tableColumn id="12" xr3:uid="{0BCED714-1FDD-47FD-8651-6F82E2E9A7A5}" name="Demon"/>
    <tableColumn id="13" xr3:uid="{CEF7A5F3-6678-43E5-A6F4-23683C9A8404}" name="Reaper"/>
    <tableColumn id="14" xr3:uid="{4DCEB7D8-DE3B-4ED9-80E1-2916CA1BBA72}" name="Juggernau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F4ECF2-2143-478A-BCEF-5925C9CEBB79}" name="Table6" displayName="Table6" ref="A1:J30" totalsRowShown="0" headerRowDxfId="8">
  <autoFilter ref="A1:J30" xr:uid="{2FF4ECF2-2143-478A-BCEF-5925C9CEBB79}"/>
  <tableColumns count="10">
    <tableColumn id="1" xr3:uid="{B80B6022-D536-48AB-AD6F-D599FC1C5781}" name="Name"/>
    <tableColumn id="2" xr3:uid="{967DF4F5-09E9-423C-A2C2-7BB0D6B0DF3B}" name="Required Rank"/>
    <tableColumn id="3" xr3:uid="{7ADF22BA-8BBC-4EE3-9493-88008EC0556F}" name="Armor"/>
    <tableColumn id="4" xr3:uid="{90E082EA-77DB-42B0-BB3B-0F41D4EE358B}" name="Factor"/>
    <tableColumn id="5" xr3:uid="{4CF2EDD0-67B9-42D0-8127-CA7A624A8802}" name="Weight"/>
    <tableColumn id="6" xr3:uid="{CA282DBF-E73B-4993-B8E9-85DC7B26A79E}" name="Cost"/>
    <tableColumn id="7" xr3:uid="{737AEAFE-EA8C-4702-9A0E-BD415B56B9E2}" name="Repair Factor"/>
    <tableColumn id="8" xr3:uid="{80EC41C0-8B20-4127-99D9-44789BE734A8}" name="Energy to Start"/>
    <tableColumn id="9" xr3:uid="{62477086-58E7-45FF-9FFA-0660CC4EB6E7}" name="Energy per turn"/>
    <tableColumn id="10" xr3:uid="{D58079E8-7B74-4BB6-BA88-79E2A980006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7C1B43-5D9E-439F-9286-69A4F2201575}" name="Table7" displayName="Table7" ref="A1:Q11" totalsRowShown="0" headerRowDxfId="7">
  <autoFilter ref="A1:Q11" xr:uid="{217C1B43-5D9E-439F-9286-69A4F2201575}"/>
  <tableColumns count="17">
    <tableColumn id="1" xr3:uid="{B7E068E9-4AE4-441D-AC7E-B8F19B929CF0}" name="Name"/>
    <tableColumn id="2" xr3:uid="{C872DEE7-013C-4C6E-BAA8-D4004F77BB41}" name="Rank"/>
    <tableColumn id="3" xr3:uid="{31A84A99-9027-45F2-832E-27050C763CED}" name="Armor factor (Afac)"/>
    <tableColumn id="4" xr3:uid="{1ED957AB-55BA-4FC3-9B08-DFF4D6BF16C1}" name="Weight (Wt)"/>
    <tableColumn id="5" xr3:uid="{6F70898C-D422-4082-BC9F-D10E0487151C}" name="Cost"/>
    <tableColumn id="6" xr3:uid="{5511B69B-5FDD-4925-9D16-25F64CCDA398}" name="Cost per-turn (C/T)"/>
    <tableColumn id="7" xr3:uid="{F927C537-288D-4563-844E-1404B731E66D}" name="Health per-turn (HI)"/>
    <tableColumn id="8" xr3:uid="{3C0EDBB5-7160-45EC-9751-7E235440E68D}" name="Stability per-turn (SI)"/>
    <tableColumn id="9" xr3:uid="{26140FD0-0322-43D0-954D-B03EB458B096}" name="Detoxing per-tun (DI)"/>
    <tableColumn id="10" xr3:uid="{8D5381C3-FC17-4F12-A23E-32DAF79B67A4}" name="Shadow"/>
    <tableColumn id="11" xr3:uid="{5EBEED81-D40F-440F-8DF9-42677AF6148E}" name="Remora"/>
    <tableColumn id="12" xr3:uid="{909D637E-DCFC-4C99-A36B-17CCC9DEADB9}" name="Sensei"/>
    <tableColumn id="13" xr3:uid="{8F0C1D28-E32F-4AD7-B088-EE3FBCCEB80B}" name="Ogre"/>
    <tableColumn id="14" xr3:uid="{FA96FA06-4825-4F29-AFAA-6AECDE73FA0B}" name="Giant"/>
    <tableColumn id="15" xr3:uid="{A9C06633-5F08-459D-BC17-118D2B280A3B}" name="Demon"/>
    <tableColumn id="16" xr3:uid="{2D2F9427-BEC6-44AA-A298-F3FBBB23066F}" name="Reaper"/>
    <tableColumn id="17" xr3:uid="{AFADF889-BD22-4772-ACA7-3D8AE3F27192}" name="Juggernau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643D2C-FF24-4648-905D-EC214BD62349}" name="Table8" displayName="Table8" ref="A1:M13" totalsRowShown="0" headerRowDxfId="6">
  <autoFilter ref="A1:M13" xr:uid="{AC643D2C-FF24-4648-905D-EC214BD62349}"/>
  <tableColumns count="13">
    <tableColumn id="1" xr3:uid="{7D299C26-4B73-4591-8E0E-B8A4E429A836}" name="Type"/>
    <tableColumn id="2" xr3:uid="{E6E3087E-A07E-4B5F-9B65-3B9B6CEBDBFC}" name="Rank"/>
    <tableColumn id="3" xr3:uid="{C738DF09-A5D3-4F75-9A58-E6C7EDF4D775}" name="Armor factor (Afac)"/>
    <tableColumn id="4" xr3:uid="{76700C42-6178-42C8-8A43-FF0017DEF3B6}" name="Weight (Wt)"/>
    <tableColumn id="5" xr3:uid="{43CA44B7-008C-4CDE-9FE4-6044C4AC8469}" name="Cost"/>
    <tableColumn id="6" xr3:uid="{02419BF8-C9E3-46F6-B380-11F93B1CCDA5}" name="Shadow"/>
    <tableColumn id="7" xr3:uid="{126D4B64-3953-4159-8B17-0370839BDA1B}" name="Remora"/>
    <tableColumn id="8" xr3:uid="{E8C030E3-A219-4036-BD17-5FA021E526E2}" name="Sensei"/>
    <tableColumn id="9" xr3:uid="{9C24C983-E331-4941-B4BE-EE52664B16FC}" name="Ogre"/>
    <tableColumn id="10" xr3:uid="{BB42B572-8DC9-4A8D-AD23-63E5CA89F59A}" name="Giant"/>
    <tableColumn id="11" xr3:uid="{C90A85C9-1133-418E-A046-748D14609219}" name="Demon"/>
    <tableColumn id="12" xr3:uid="{83DD48B9-258A-46CB-9F90-888B751416A5}" name="Reaper"/>
    <tableColumn id="13" xr3:uid="{D3506CDD-F074-4179-858D-287143B147B1}" name="Juggernau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04450F-3A20-4077-99A8-DF26473A3183}" name="Table9" displayName="Table9" ref="A1:N19" totalsRowShown="0" headerRowDxfId="5">
  <autoFilter ref="A1:N19" xr:uid="{B004450F-3A20-4077-99A8-DF26473A3183}"/>
  <tableColumns count="14">
    <tableColumn id="1" xr3:uid="{43906258-0DF4-4930-800E-FFE27C99B5D0}" name="Name"/>
    <tableColumn id="2" xr3:uid="{8985374E-AA38-4135-8EB7-E72C44E56B5F}" name="Rank"/>
    <tableColumn id="3" xr3:uid="{794F3DC7-0B2C-40A2-9E84-3BC675316D40}" name="Armor factor (Afac)"/>
    <tableColumn id="4" xr3:uid="{7CA77609-7BAE-44AB-AF4F-7DF51B98F766}" name="Weight (Wt)"/>
    <tableColumn id="5" xr3:uid="{42CC0AA6-3E32-4EB4-8699-5145CA3A4939}" name="Base"/>
    <tableColumn id="6" xr3:uid="{17474FDD-D9A7-4D5C-86A2-7CB29051D9A0}" name="Energy generated per turn (EnrgD)"/>
    <tableColumn id="7" xr3:uid="{67C9C331-4FD6-4895-96D8-BE2C601DF1D3}" name="Shadow"/>
    <tableColumn id="8" xr3:uid="{E5156831-12BC-413B-A75B-2D20A418B08C}" name="Remora"/>
    <tableColumn id="9" xr3:uid="{53C7F38E-C5B4-412C-A5FC-DD276B1ACF81}" name="Sensei"/>
    <tableColumn id="10" xr3:uid="{10AA1FB9-9CAE-4893-B475-066965A58E5B}" name="Ogre"/>
    <tableColumn id="11" xr3:uid="{9258C86B-2355-482F-95B5-55A78C7975ED}" name="Giant"/>
    <tableColumn id="12" xr3:uid="{BEAC06DE-306D-4198-8E7F-224B64D4C7FF}" name="Demon"/>
    <tableColumn id="13" xr3:uid="{C3E6CD59-0034-4338-82DF-6D9AB2512F70}" name="Reaper"/>
    <tableColumn id="14" xr3:uid="{AE862633-8BC7-472F-96D6-FE715B13B998}" name="Juggernau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103C47A-4AD9-48AE-849A-D7F3C2BA44CE}" name="Table11" displayName="Table11" ref="A1:P11" totalsRowShown="0" headerRowDxfId="4">
  <autoFilter ref="A1:P11" xr:uid="{E103C47A-4AD9-48AE-849A-D7F3C2BA44CE}"/>
  <tableColumns count="16">
    <tableColumn id="1" xr3:uid="{9A5BCBCB-9D5E-4901-B205-D2A50B3FA6E9}" name="Type"/>
    <tableColumn id="2" xr3:uid="{2FC53F1F-CB3C-4385-AB3A-7CC0695EC8F3}" name="Rank"/>
    <tableColumn id="3" xr3:uid="{F896656E-7D57-468D-A625-8B5C1D210F18}" name="Armor factor (Afac)"/>
    <tableColumn id="4" xr3:uid="{0AA94D69-C0A5-4C3C-ACE4-4E35FAC7D719}" name="Weight (Wt)"/>
    <tableColumn id="5" xr3:uid="{ABFBB22F-FD43-44E2-8376-3FA1628E1B6F}" name="Cost"/>
    <tableColumn id="6" xr3:uid="{BD471789-B69A-444C-A56B-07AFD6949EF7}" name="Energy Cost (Enrg)"/>
    <tableColumn id="7" xr3:uid="{349039AD-4BD4-4525-9942-6A26F11C9E10}" name="Max Range (Max)"/>
    <tableColumn id="8" xr3:uid="{F8CE9A41-6110-4231-9FE1-7AD74E323F90}" name="Line of Sight (LOS)"/>
    <tableColumn id="9" xr3:uid="{B58D6FD0-3DF9-482C-BD48-EC1F5CE283B0}" name="Shadow"/>
    <tableColumn id="10" xr3:uid="{DCD37BD4-9FD6-47EB-A9C1-3213FA013404}" name="Remora"/>
    <tableColumn id="11" xr3:uid="{A5C72611-27E5-4428-A448-D88DC5298250}" name="Sensei"/>
    <tableColumn id="12" xr3:uid="{6015F3A1-813C-46AD-9CA8-138C8C1D986A}" name="Ogre"/>
    <tableColumn id="13" xr3:uid="{CD22F6A7-DD3A-4FC4-8B68-48933EE4FCF5}" name="Giant"/>
    <tableColumn id="14" xr3:uid="{5CAC361C-11C7-4024-A965-7E5DC176E928}" name="Demon"/>
    <tableColumn id="15" xr3:uid="{89F2F5DF-A893-4825-A7FC-0CA09BB743C4}" name="Reaper"/>
    <tableColumn id="16" xr3:uid="{95B181C4-6CA4-4ED2-972D-5D71670AB7F1}" name="Juggernau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FB16939-3357-4295-A9C7-FA14D9852BC0}" name="Table12" displayName="Table12" ref="A1:P11" totalsRowShown="0" headerRowDxfId="3">
  <autoFilter ref="A1:P11" xr:uid="{9FB16939-3357-4295-A9C7-FA14D9852BC0}"/>
  <tableColumns count="16">
    <tableColumn id="1" xr3:uid="{4B3DFCFD-0817-4E12-8DBC-2B311C824E11}" name="Type"/>
    <tableColumn id="2" xr3:uid="{3AB76633-B190-4443-B239-83E00F52779B}" name="Rank"/>
    <tableColumn id="3" xr3:uid="{8297F9DA-8D05-49CE-9457-6A86D02BF076}" name="Armor factor (Afac)"/>
    <tableColumn id="4" xr3:uid="{97663F07-DE1B-4448-9FFD-3DAC013C57C9}" name="Weight (Wt)"/>
    <tableColumn id="5" xr3:uid="{6B63B28C-261C-43AB-BC41-F9E169FF888C}" name="Cost"/>
    <tableColumn id="6" xr3:uid="{944CE10A-77C2-45DC-89A7-7045210C38D1}" name="Max shield pool (Max)"/>
    <tableColumn id="7" xr3:uid="{7EA0A2B3-036C-4605-92BD-AE71C02DE362}" name="Shield recharge (Shld)"/>
    <tableColumn id="8" xr3:uid="{BAC0934B-45AC-4CF7-BC39-23CB680EF37E}" name="Energy cost  (Enrg)"/>
    <tableColumn id="9" xr3:uid="{A2984A14-9598-4A66-8E2C-2BCBCB2D1945}" name="Shadow"/>
    <tableColumn id="10" xr3:uid="{15BBE0B0-A5FC-4A61-B218-5557445EF36C}" name="Remora"/>
    <tableColumn id="11" xr3:uid="{7CF36865-C602-47F9-9621-BCD08A30CF42}" name="Sensei"/>
    <tableColumn id="12" xr3:uid="{52CB19AC-A3C3-42B2-A541-923BB83B9ADA}" name="Ogre"/>
    <tableColumn id="13" xr3:uid="{5B0C8C88-DB9F-4766-8F7D-5D305C73931B}" name="Giant"/>
    <tableColumn id="14" xr3:uid="{797561AA-EFCC-4458-A07D-7961C1AE70F6}" name="Demon"/>
    <tableColumn id="15" xr3:uid="{889A4305-E35A-4225-897A-4FAFF513DD4C}" name="Reaper"/>
    <tableColumn id="16" xr3:uid="{3141B43C-8606-4DE7-A6BF-5A7F9EE1C075}" name="Juggernau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E59471-DDEC-4D88-A651-995B61183B1C}" name="Table13" displayName="Table13" ref="A1:P12" totalsRowShown="0" headerRowDxfId="2">
  <autoFilter ref="A1:P12" xr:uid="{43E59471-DDEC-4D88-A651-995B61183B1C}"/>
  <tableColumns count="16">
    <tableColumn id="1" xr3:uid="{2736A928-83B1-49E6-AD98-6D688521C854}" name="Name"/>
    <tableColumn id="2" xr3:uid="{540C1938-CC23-40A1-BD6D-9C558517B038}" name="Rank"/>
    <tableColumn id="3" xr3:uid="{63BED6FA-0E2E-481C-BC27-AF9BFAF15822}" name="Armor factor (Afac)"/>
    <tableColumn id="4" xr3:uid="{762ED9DF-ADAB-44B5-AAE6-2AB95B7388A8}" name="Weight (Wt)"/>
    <tableColumn id="5" xr3:uid="{C0A7A233-DA6D-4FAC-86E6-AB3E863B2598}" name="Cost"/>
    <tableColumn id="6" xr3:uid="{79C39153-B02A-4C63-BEEF-020424047C08}" name="Repair cost (Rep)"/>
    <tableColumn id="7" xr3:uid="{A31506AB-5077-40E5-A781-4CF13AFC772A}" name="Hit bonus percentage (Hit)"/>
    <tableColumn id="8" xr3:uid="{66540AC4-0E24-4BEF-BE5F-34AD921C0AEC}" name="Energy auto-used (Enrg)"/>
    <tableColumn id="9" xr3:uid="{6A1FF8D2-0059-42DF-9D4E-F8C753486AFB}" name="Shadow"/>
    <tableColumn id="10" xr3:uid="{3FB9E760-E656-4449-B2EE-3B54D4BE5998}" name="Remora"/>
    <tableColumn id="11" xr3:uid="{777F5288-4272-4965-B3C2-AF01D730A367}" name="Sensei"/>
    <tableColumn id="12" xr3:uid="{5E7273CB-7BAD-4A20-907D-CCF11C628218}" name="Ogre"/>
    <tableColumn id="13" xr3:uid="{2B6F5ECA-245F-49DC-A226-9094E9B5CB45}" name="Giant"/>
    <tableColumn id="14" xr3:uid="{B5C0B764-943B-47D2-BCEF-6B73C18F4194}" name="Demon"/>
    <tableColumn id="15" xr3:uid="{54807232-05DF-44EB-8376-DA6CA17A390B}" name="Reaper"/>
    <tableColumn id="16" xr3:uid="{E94388EB-C2A1-4986-89F9-3C70072ECCB9}" name="Juggernau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F4E8956-2BF8-44B6-8099-89AA31E05F7F}" name="Table10" displayName="Table10" ref="A1:AH70" totalsRowShown="0" headerRowDxfId="1">
  <autoFilter ref="A1:AH70" xr:uid="{0F4E8956-2BF8-44B6-8099-89AA31E05F7F}"/>
  <tableColumns count="34">
    <tableColumn id="1" xr3:uid="{34749DDF-C1DA-4B10-99E7-AAA346AE99CC}" name="Name"/>
    <tableColumn id="2" xr3:uid="{958E1059-82B6-40D6-8A71-9D0192437FD0}" name="Rank"/>
    <tableColumn id="3" xr3:uid="{BB5B3946-6261-41C6-96E8-31ECE24CD85F}" name="Armor factor (Afac)"/>
    <tableColumn id="4" xr3:uid="{4DA1A694-73C7-4A31-A897-7EFA097D2B55}" name="Weight (Wt)"/>
    <tableColumn id="5" xr3:uid="{C40D88AA-C783-4619-8CEB-6ABD8640610F}" name="Cost"/>
    <tableColumn id="6" xr3:uid="{7BE69B64-9AAE-441E-96D7-460AA0D60807}" name="% Repair cost (Rep%)"/>
    <tableColumn id="7" xr3:uid="{1DEF3E90-4BCC-4A5F-ACFD-BEC4CDB37CFC}" name="Ammo"/>
    <tableColumn id="8" xr3:uid="{20FB542D-FA80-4A50-9B81-13B6646FA16C}" name="Shadow"/>
    <tableColumn id="9" xr3:uid="{0280F2FF-5086-42EC-89D0-2972CA679D07}" name="Remora"/>
    <tableColumn id="10" xr3:uid="{183B3ED7-6068-4E05-94E3-DCA204041619}" name="Sensei"/>
    <tableColumn id="11" xr3:uid="{6CC6C461-48C9-47A8-9E55-7191BFA9E7B4}" name="Ogre"/>
    <tableColumn id="12" xr3:uid="{E6196B1F-120A-4087-8599-122EB1DC24FF}" name="Giant"/>
    <tableColumn id="13" xr3:uid="{0768FE18-9EA0-483C-86EC-502B733A8074}" name="Demon"/>
    <tableColumn id="14" xr3:uid="{A0AF8AA6-16C0-4382-B90A-1563DE9319EA}" name="Reaper"/>
    <tableColumn id="15" xr3:uid="{9831A7F6-8AA9-47DD-B3B7-52907F3980E2}" name="Juggernaut"/>
    <tableColumn id="16" xr3:uid="{702C630D-A3FB-4C4B-9ABC-14E8B1A174C8}" name="Rate of Fire (ROF)"/>
    <tableColumn id="17" xr3:uid="{08819D3A-93DE-4480-847C-7ECA60DA9489}" name="Max range (MR)"/>
    <tableColumn id="18" xr3:uid="{1418FDBC-B60A-48BB-96B3-3AF4A2C49811}" name="Range Increment (RI)"/>
    <tableColumn id="19" xr3:uid="{555B1DA9-DB70-4785-830B-2658F17328A4}" name="Damage Increment (DI)"/>
    <tableColumn id="20" xr3:uid="{81CE8382-B369-4B7B-9919-966D00F9B8A4}" name="Indirect Fire"/>
    <tableColumn id="21" xr3:uid="{D79F707E-ADBD-42E4-ABBA-C971B08D0C6B}" name="Bioderm Skill"/>
    <tableColumn id="22" xr3:uid="{915AEF11-9D45-4BAC-A475-E2BDF3232F95}" name="Damage affecting accuracy or damage(DamagE)"/>
    <tableColumn id="23" xr3:uid="{C7AD2214-CDD1-4D99-BF80-ED5ADD02020D}" name="Damage to inoperable (Dis%)"/>
    <tableColumn id="24" xr3:uid="{E460830D-DAF0-47F9-91D7-17BC96FC129E}" name="Energy to fire (En/S)"/>
    <tableColumn id="25" xr3:uid="{FCA203CD-29DE-4331-8AE2-4D415946905F}" name="Damage to Shields (DvS)"/>
    <tableColumn id="26" xr3:uid="{DD28ABB5-7F4E-45AE-9583-8612F0F14765}" name="Damage to Armor (DvA)"/>
    <tableColumn id="27" xr3:uid="{1E04814F-8990-4828-8180-DE7C7DF8A0C7}" name="Shield Penetration (DP)"/>
    <tableColumn id="28" xr3:uid="{95D2FEC4-0656-4A8F-97E8-4ACDC6563706}" name="Damage carried over from shields (DC%)"/>
    <tableColumn id="29" xr3:uid="{F3C6F2DD-3CBA-4777-AFD4-9D8988DBC24A}" name="Number of hits (H/s)"/>
    <tableColumn id="30" xr3:uid="{165AD667-F3F9-4A04-851C-2C8996915623}" name="Damage @ 0 hex range (D@0)"/>
    <tableColumn id="31" xr3:uid="{3DF8FCC4-67DA-4A5D-9B52-86D54D76D274}" name="Damage @ 1 hex range (D@1)"/>
    <tableColumn id="32" xr3:uid="{B0BFFD59-DEEB-447D-B348-A77618651C15}" name="Damage @ 2 hex range (D@2)"/>
    <tableColumn id="33" xr3:uid="{8A2CBEC4-5524-415D-88A1-DFE2C251ADD0}" name="Damage @ 3 hex range (D@3)"/>
    <tableColumn id="34" xr3:uid="{CF2A7589-5307-4FC8-82E5-A360DA95F823}" name="Damage on Mis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0E0E617-557A-49D8-9D31-3E512D17F308}" name="Table14" displayName="Table14" ref="A1:N32" totalsRowShown="0" headerRowDxfId="0">
  <autoFilter ref="A1:N32" xr:uid="{60E0E617-557A-49D8-9D31-3E512D17F308}"/>
  <tableColumns count="14">
    <tableColumn id="1" xr3:uid="{84F6E433-D0A8-41A5-BB1F-90F742F23B81}" name="Name"/>
    <tableColumn id="2" xr3:uid="{6D51A684-7AE7-4B48-8672-65CB89E64E89}" name="Armor Factor (Afac)"/>
    <tableColumn id="3" xr3:uid="{7F8AECA4-848B-4850-87D2-934B842CEE49}" name="Armor type"/>
    <tableColumn id="4" xr3:uid="{E9C47EF1-D8F4-459B-8A8A-C65B123D7A02}" name="Shields"/>
    <tableColumn id="5" xr3:uid="{384438E4-615F-4FE0-9920-0C74EFF174DE}" name="Targeting Computer"/>
    <tableColumn id="6" xr3:uid="{AB45B5CB-4724-4C9A-8DA0-623BB7CFAA28}" name="Weapon Type"/>
    <tableColumn id="7" xr3:uid="{B0B22AC1-196C-4AC0-8558-2A074325BBC2}" name="Weapon Type2"/>
    <tableColumn id="8" xr3:uid="{D1AFA279-744A-4E5F-B0B2-C50DE92EB850}" name="Weapon Type3"/>
    <tableColumn id="9" xr3:uid="{EDAD6A40-DDE1-4186-9A11-3E81B4E16D41}" name="Weapon Type4"/>
    <tableColumn id="10" xr3:uid="{C039FE65-38DE-4C1E-AD8B-2AC62D491803}" name="Weapon Type5"/>
    <tableColumn id="11" xr3:uid="{8004795A-8866-47D2-BFF3-C1AEB8A8338E}" name="Weapon Type6"/>
    <tableColumn id="12" xr3:uid="{37DECBA7-C0D5-4DF3-ACC7-3350BECFDC7B}" name="Weapon Type7"/>
    <tableColumn id="13" xr3:uid="{D533B1EA-DC25-45FA-97CC-DC100044130B}" name="Weapon Type8"/>
    <tableColumn id="14" xr3:uid="{C580A0EF-993B-474D-8E60-C6E79E93AB16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B787842-2496-409C-B4A9-39DC7F33F833}" name="Table15" displayName="Table15" ref="A1:V52" totalsRowShown="0" headerRowDxfId="15">
  <autoFilter ref="A1:V52" xr:uid="{EB787842-2496-409C-B4A9-39DC7F33F833}"/>
  <tableColumns count="22">
    <tableColumn id="1" xr3:uid="{8927CEC9-1853-4930-A671-7699B66DFCE9}" name="Name"/>
    <tableColumn id="2" xr3:uid="{9240BFB8-AE4E-4E29-8773-7316C8B1F66C}" name="Movement"/>
    <tableColumn id="3" xr3:uid="{2DFE2626-7764-4D97-B3D5-033772769436}" name="Energy"/>
    <tableColumn id="4" xr3:uid="{EC84D33F-F9C2-4E0B-A40D-59242105AD8D}" name="Rank Required"/>
    <tableColumn id="5" xr3:uid="{676B9BDB-9F45-4BEC-A367-73FBA21C8B5D}" name="Favorite Range (Min)"/>
    <tableColumn id="6" xr3:uid="{E791963A-0E96-4C23-AF0A-3EEF070093B0}" name="Favorite Range (Max)" dataDxfId="14"/>
    <tableColumn id="7" xr3:uid="{3D92AC0A-90BE-4AC1-88FC-AE6CC7814665}" name="Armor Factor"/>
    <tableColumn id="8" xr3:uid="{D27CA21B-F837-4690-B41A-EB9F8614181D}" name="Armor Type"/>
    <tableColumn id="9" xr3:uid="{86A6CF5F-9301-43A6-AF8B-BBABCEA4FEA9}" name="Limbs"/>
    <tableColumn id="10" xr3:uid="{35F8387D-8BBE-4E89-9C28-DD965434CE22}" name="Reactor Type"/>
    <tableColumn id="11" xr3:uid="{27E26C0C-1FE8-4CDE-B9F0-A3E97400C8B3}" name="Shield Factor"/>
    <tableColumn id="12" xr3:uid="{641696A0-EF8E-4AC0-A347-D1C4F6B2BF1A}" name="Target Comp"/>
    <tableColumn id="13" xr3:uid="{F6338822-7620-44BC-802E-51F1EB48DBD2}" name="Weapon Type"/>
    <tableColumn id="14" xr3:uid="{E654CEF6-034B-4715-B9CC-95909D8CDBC1}" name="Weapon Type2"/>
    <tableColumn id="15" xr3:uid="{FAEF9CDF-FAE4-4881-8138-D01B81C1DD5F}" name="Weapon Type3"/>
    <tableColumn id="16" xr3:uid="{C4C96B5D-F75C-40D6-9CD5-C513545A99F5}" name="Weapon Type4"/>
    <tableColumn id="17" xr3:uid="{E7F33E3E-A873-47D6-8026-0F1047B5143E}" name="Weapon Type5"/>
    <tableColumn id="18" xr3:uid="{92949DB3-FB89-46AA-B5C9-4542441165F9}" name="Weapon Type6"/>
    <tableColumn id="19" xr3:uid="{C80A5FF6-FA77-495E-9154-DF15E5CB6A0B}" name="Weapon Type7"/>
    <tableColumn id="20" xr3:uid="{8345C215-79B2-4A0E-8CB1-11E7261FD481}" name="Weapon Type8"/>
    <tableColumn id="21" xr3:uid="{3DA2BE90-B052-45E5-878E-52581FE8FAF2}" name="Internal"/>
    <tableColumn id="22" xr3:uid="{041293AB-5CBA-49AF-BD72-BCB072D49BA5}" name="Internal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5EFF-3703-4823-9EF9-7DD5954357C5}">
  <dimension ref="A1:R32"/>
  <sheetViews>
    <sheetView workbookViewId="0">
      <selection activeCell="K1" sqref="K1:R1"/>
    </sheetView>
  </sheetViews>
  <sheetFormatPr defaultRowHeight="15" x14ac:dyDescent="0.25"/>
  <cols>
    <col min="1" max="1" width="15.5703125" bestFit="1" customWidth="1"/>
    <col min="2" max="4" width="7.28515625" bestFit="1" customWidth="1"/>
    <col min="5" max="5" width="11.5703125" bestFit="1" customWidth="1"/>
    <col min="6" max="6" width="43.5703125" bestFit="1" customWidth="1"/>
    <col min="7" max="18" width="7.28515625" bestFit="1" customWidth="1"/>
  </cols>
  <sheetData>
    <row r="1" spans="1:18" s="1" customFormat="1" ht="160.5" x14ac:dyDescent="0.25">
      <c r="A1" s="1" t="s">
        <v>7</v>
      </c>
      <c r="B1" s="1" t="s">
        <v>9</v>
      </c>
      <c r="C1" s="1" t="s">
        <v>1</v>
      </c>
      <c r="D1" s="1" t="s">
        <v>8</v>
      </c>
      <c r="E1" s="1" t="s">
        <v>10</v>
      </c>
      <c r="F1" s="1" t="s">
        <v>45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58</v>
      </c>
      <c r="P1" s="1" t="s">
        <v>57</v>
      </c>
      <c r="Q1" s="1" t="s">
        <v>59</v>
      </c>
      <c r="R1" s="1" t="s">
        <v>60</v>
      </c>
    </row>
    <row r="2" spans="1:18" x14ac:dyDescent="0.25">
      <c r="A2" t="s">
        <v>24</v>
      </c>
      <c r="B2">
        <v>0</v>
      </c>
      <c r="C2">
        <v>200</v>
      </c>
      <c r="D2">
        <v>100</v>
      </c>
      <c r="E2" t="s">
        <v>41</v>
      </c>
      <c r="F2" t="s">
        <v>47</v>
      </c>
      <c r="G2">
        <v>6</v>
      </c>
      <c r="H2">
        <v>1</v>
      </c>
      <c r="I2">
        <v>0</v>
      </c>
      <c r="J2">
        <v>0</v>
      </c>
      <c r="K2" t="s">
        <v>61</v>
      </c>
      <c r="L2" t="s">
        <v>61</v>
      </c>
      <c r="M2" t="s">
        <v>61</v>
      </c>
      <c r="N2" t="s">
        <v>61</v>
      </c>
      <c r="O2" t="s">
        <v>61</v>
      </c>
    </row>
    <row r="3" spans="1:18" x14ac:dyDescent="0.25">
      <c r="A3" t="s">
        <v>25</v>
      </c>
      <c r="B3">
        <v>0</v>
      </c>
      <c r="C3">
        <v>250</v>
      </c>
      <c r="D3">
        <v>371</v>
      </c>
      <c r="E3" t="s">
        <v>41</v>
      </c>
      <c r="F3" t="s">
        <v>47</v>
      </c>
      <c r="G3">
        <v>13</v>
      </c>
      <c r="H3">
        <v>3</v>
      </c>
      <c r="I3">
        <v>0</v>
      </c>
      <c r="J3">
        <v>0</v>
      </c>
      <c r="M3" t="s">
        <v>61</v>
      </c>
      <c r="N3" t="s">
        <v>61</v>
      </c>
      <c r="O3" t="s">
        <v>61</v>
      </c>
      <c r="P3" t="s">
        <v>61</v>
      </c>
    </row>
    <row r="4" spans="1:18" x14ac:dyDescent="0.25">
      <c r="A4" t="s">
        <v>26</v>
      </c>
      <c r="B4">
        <v>1</v>
      </c>
      <c r="C4">
        <v>300</v>
      </c>
      <c r="D4">
        <v>689</v>
      </c>
      <c r="E4" t="s">
        <v>41</v>
      </c>
      <c r="F4" t="s">
        <v>47</v>
      </c>
      <c r="G4">
        <v>21</v>
      </c>
      <c r="H4">
        <v>4</v>
      </c>
      <c r="I4">
        <v>0</v>
      </c>
      <c r="J4">
        <v>0</v>
      </c>
      <c r="N4" t="s">
        <v>61</v>
      </c>
      <c r="O4" t="s">
        <v>61</v>
      </c>
      <c r="P4" t="s">
        <v>61</v>
      </c>
    </row>
    <row r="5" spans="1:18" x14ac:dyDescent="0.25">
      <c r="A5" t="s">
        <v>27</v>
      </c>
      <c r="B5">
        <v>1</v>
      </c>
      <c r="C5">
        <v>351</v>
      </c>
      <c r="D5">
        <v>1045</v>
      </c>
      <c r="E5" t="s">
        <v>41</v>
      </c>
      <c r="F5" t="s">
        <v>47</v>
      </c>
      <c r="G5">
        <v>26</v>
      </c>
      <c r="H5">
        <v>5</v>
      </c>
      <c r="I5">
        <v>0</v>
      </c>
      <c r="J5">
        <v>0</v>
      </c>
      <c r="O5" t="s">
        <v>61</v>
      </c>
      <c r="P5" t="s">
        <v>61</v>
      </c>
      <c r="Q5" t="s">
        <v>61</v>
      </c>
    </row>
    <row r="6" spans="1:18" x14ac:dyDescent="0.25">
      <c r="A6" t="s">
        <v>28</v>
      </c>
      <c r="B6">
        <v>3</v>
      </c>
      <c r="C6">
        <v>500</v>
      </c>
      <c r="D6">
        <v>80</v>
      </c>
      <c r="E6" t="s">
        <v>3</v>
      </c>
      <c r="F6" t="s">
        <v>47</v>
      </c>
      <c r="G6">
        <v>6</v>
      </c>
      <c r="H6">
        <v>1</v>
      </c>
      <c r="I6">
        <v>0</v>
      </c>
      <c r="J6">
        <v>0</v>
      </c>
      <c r="K6" t="s">
        <v>61</v>
      </c>
      <c r="L6" t="s">
        <v>61</v>
      </c>
      <c r="M6" t="s">
        <v>61</v>
      </c>
      <c r="N6" t="s">
        <v>61</v>
      </c>
      <c r="O6" t="s">
        <v>61</v>
      </c>
    </row>
    <row r="7" spans="1:18" x14ac:dyDescent="0.25">
      <c r="A7" t="s">
        <v>29</v>
      </c>
      <c r="B7">
        <v>2</v>
      </c>
      <c r="C7">
        <v>700</v>
      </c>
      <c r="D7">
        <v>337</v>
      </c>
      <c r="E7" t="s">
        <v>3</v>
      </c>
      <c r="F7" t="s">
        <v>47</v>
      </c>
      <c r="G7">
        <v>13</v>
      </c>
      <c r="H7">
        <v>3</v>
      </c>
      <c r="I7">
        <v>0</v>
      </c>
      <c r="J7">
        <v>0</v>
      </c>
      <c r="M7" t="s">
        <v>61</v>
      </c>
      <c r="N7" t="s">
        <v>61</v>
      </c>
      <c r="O7" t="s">
        <v>61</v>
      </c>
      <c r="P7" t="s">
        <v>61</v>
      </c>
    </row>
    <row r="8" spans="1:18" x14ac:dyDescent="0.25">
      <c r="A8" t="s">
        <v>30</v>
      </c>
      <c r="B8">
        <v>2</v>
      </c>
      <c r="C8">
        <v>900</v>
      </c>
      <c r="D8">
        <v>651</v>
      </c>
      <c r="E8" t="s">
        <v>3</v>
      </c>
      <c r="F8" t="s">
        <v>47</v>
      </c>
      <c r="G8">
        <v>22</v>
      </c>
      <c r="H8">
        <v>5</v>
      </c>
      <c r="I8">
        <v>0</v>
      </c>
      <c r="J8">
        <v>0</v>
      </c>
      <c r="N8" t="s">
        <v>61</v>
      </c>
      <c r="O8" t="s">
        <v>61</v>
      </c>
      <c r="P8" t="s">
        <v>61</v>
      </c>
    </row>
    <row r="9" spans="1:18" x14ac:dyDescent="0.25">
      <c r="A9" t="s">
        <v>32</v>
      </c>
      <c r="B9">
        <v>2</v>
      </c>
      <c r="C9">
        <v>1128</v>
      </c>
      <c r="D9">
        <v>788</v>
      </c>
      <c r="E9" t="s">
        <v>3</v>
      </c>
      <c r="F9" t="s">
        <v>47</v>
      </c>
      <c r="G9">
        <v>23</v>
      </c>
      <c r="H9">
        <v>6</v>
      </c>
      <c r="I9">
        <v>0</v>
      </c>
      <c r="J9">
        <v>0</v>
      </c>
      <c r="N9" t="s">
        <v>61</v>
      </c>
      <c r="O9" t="s">
        <v>61</v>
      </c>
      <c r="P9" t="s">
        <v>61</v>
      </c>
      <c r="Q9" t="s">
        <v>61</v>
      </c>
    </row>
    <row r="10" spans="1:18" x14ac:dyDescent="0.25">
      <c r="A10" t="s">
        <v>31</v>
      </c>
      <c r="B10">
        <v>3</v>
      </c>
      <c r="C10">
        <v>4339</v>
      </c>
      <c r="D10">
        <v>1650</v>
      </c>
      <c r="E10" t="s">
        <v>3</v>
      </c>
      <c r="F10" t="s">
        <v>47</v>
      </c>
      <c r="G10">
        <v>29</v>
      </c>
      <c r="H10">
        <v>7</v>
      </c>
      <c r="I10">
        <v>0</v>
      </c>
      <c r="J10">
        <v>0</v>
      </c>
      <c r="Q10" t="s">
        <v>61</v>
      </c>
      <c r="R10" t="s">
        <v>61</v>
      </c>
    </row>
    <row r="11" spans="1:18" x14ac:dyDescent="0.25">
      <c r="A11" t="s">
        <v>33</v>
      </c>
      <c r="B11">
        <v>3</v>
      </c>
      <c r="C11">
        <v>1452</v>
      </c>
      <c r="D11">
        <v>689</v>
      </c>
      <c r="E11" t="s">
        <v>3</v>
      </c>
      <c r="F11" t="s">
        <v>48</v>
      </c>
      <c r="G11">
        <v>23</v>
      </c>
      <c r="H11">
        <v>6</v>
      </c>
      <c r="I11">
        <v>0</v>
      </c>
      <c r="J11">
        <v>0</v>
      </c>
      <c r="N11" t="s">
        <v>61</v>
      </c>
      <c r="O11" t="s">
        <v>61</v>
      </c>
      <c r="P11" t="s">
        <v>61</v>
      </c>
    </row>
    <row r="12" spans="1:18" x14ac:dyDescent="0.25">
      <c r="A12" t="s">
        <v>34</v>
      </c>
      <c r="B12">
        <v>3</v>
      </c>
      <c r="C12">
        <v>1810</v>
      </c>
      <c r="D12">
        <v>977</v>
      </c>
      <c r="E12" t="s">
        <v>3</v>
      </c>
      <c r="F12" t="s">
        <v>48</v>
      </c>
      <c r="G12">
        <v>30</v>
      </c>
      <c r="H12">
        <v>8</v>
      </c>
      <c r="I12">
        <v>0</v>
      </c>
      <c r="J12">
        <v>0</v>
      </c>
      <c r="O12" t="s">
        <v>61</v>
      </c>
      <c r="P12" t="s">
        <v>61</v>
      </c>
    </row>
    <row r="13" spans="1:18" x14ac:dyDescent="0.25">
      <c r="A13" t="s">
        <v>35</v>
      </c>
      <c r="B13">
        <v>5</v>
      </c>
      <c r="C13">
        <v>1573</v>
      </c>
      <c r="D13">
        <v>82</v>
      </c>
      <c r="E13" t="s">
        <v>4</v>
      </c>
      <c r="F13" t="s">
        <v>47</v>
      </c>
      <c r="G13">
        <v>7</v>
      </c>
      <c r="H13">
        <v>3</v>
      </c>
      <c r="I13">
        <v>0</v>
      </c>
      <c r="J13">
        <v>0</v>
      </c>
      <c r="K13" t="s">
        <v>61</v>
      </c>
      <c r="L13" t="s">
        <v>61</v>
      </c>
      <c r="M13" t="s">
        <v>61</v>
      </c>
      <c r="N13" t="s">
        <v>61</v>
      </c>
      <c r="O13" t="s">
        <v>61</v>
      </c>
    </row>
    <row r="14" spans="1:18" x14ac:dyDescent="0.25">
      <c r="A14" t="s">
        <v>36</v>
      </c>
      <c r="B14">
        <v>5</v>
      </c>
      <c r="C14">
        <v>1892</v>
      </c>
      <c r="D14">
        <v>354</v>
      </c>
      <c r="E14" t="s">
        <v>4</v>
      </c>
      <c r="F14" t="s">
        <v>47</v>
      </c>
      <c r="G14">
        <v>15</v>
      </c>
      <c r="H14">
        <v>5</v>
      </c>
      <c r="I14">
        <v>1</v>
      </c>
      <c r="J14">
        <v>0</v>
      </c>
      <c r="M14" t="s">
        <v>61</v>
      </c>
      <c r="N14" t="s">
        <v>61</v>
      </c>
      <c r="O14" t="s">
        <v>61</v>
      </c>
      <c r="P14" t="s">
        <v>61</v>
      </c>
    </row>
    <row r="15" spans="1:18" x14ac:dyDescent="0.25">
      <c r="A15" t="s">
        <v>37</v>
      </c>
      <c r="B15">
        <v>5</v>
      </c>
      <c r="C15">
        <v>2122</v>
      </c>
      <c r="D15">
        <v>682</v>
      </c>
      <c r="E15" t="s">
        <v>4</v>
      </c>
      <c r="F15" t="s">
        <v>47</v>
      </c>
      <c r="G15">
        <v>25</v>
      </c>
      <c r="H15">
        <v>8</v>
      </c>
      <c r="I15">
        <v>2</v>
      </c>
      <c r="J15">
        <v>1</v>
      </c>
      <c r="N15" t="s">
        <v>61</v>
      </c>
      <c r="O15" t="s">
        <v>61</v>
      </c>
      <c r="P15" t="s">
        <v>61</v>
      </c>
    </row>
    <row r="16" spans="1:18" x14ac:dyDescent="0.25">
      <c r="A16" t="s">
        <v>38</v>
      </c>
      <c r="B16">
        <v>5</v>
      </c>
      <c r="C16">
        <v>2405</v>
      </c>
      <c r="D16">
        <v>1526</v>
      </c>
      <c r="E16" t="s">
        <v>4</v>
      </c>
      <c r="F16" t="s">
        <v>47</v>
      </c>
      <c r="G16">
        <v>32</v>
      </c>
      <c r="H16">
        <v>11</v>
      </c>
      <c r="I16">
        <v>2</v>
      </c>
      <c r="J16">
        <v>1</v>
      </c>
      <c r="P16" t="s">
        <v>61</v>
      </c>
      <c r="Q16" t="s">
        <v>61</v>
      </c>
      <c r="R16" t="s">
        <v>61</v>
      </c>
    </row>
    <row r="17" spans="1:18" x14ac:dyDescent="0.25">
      <c r="A17" t="s">
        <v>39</v>
      </c>
      <c r="B17">
        <v>5</v>
      </c>
      <c r="C17">
        <v>2763</v>
      </c>
      <c r="D17">
        <v>2100</v>
      </c>
      <c r="E17" t="s">
        <v>4</v>
      </c>
      <c r="F17" t="s">
        <v>47</v>
      </c>
      <c r="G17">
        <v>39</v>
      </c>
      <c r="H17">
        <v>13</v>
      </c>
      <c r="I17">
        <v>2</v>
      </c>
      <c r="J17">
        <v>1</v>
      </c>
      <c r="Q17" t="s">
        <v>61</v>
      </c>
      <c r="R17" t="s">
        <v>61</v>
      </c>
    </row>
    <row r="18" spans="1:18" x14ac:dyDescent="0.25">
      <c r="A18" t="s">
        <v>40</v>
      </c>
      <c r="B18">
        <v>7</v>
      </c>
      <c r="C18">
        <v>3236</v>
      </c>
      <c r="D18">
        <v>3150</v>
      </c>
      <c r="E18" t="s">
        <v>4</v>
      </c>
      <c r="F18" t="s">
        <v>47</v>
      </c>
      <c r="G18">
        <v>49</v>
      </c>
      <c r="H18">
        <v>16</v>
      </c>
      <c r="I18">
        <v>3</v>
      </c>
      <c r="J18">
        <v>1</v>
      </c>
      <c r="R18" t="s">
        <v>61</v>
      </c>
    </row>
    <row r="19" spans="1:18" x14ac:dyDescent="0.25">
      <c r="A19" t="s">
        <v>5</v>
      </c>
      <c r="B19">
        <v>6</v>
      </c>
      <c r="C19">
        <v>3076</v>
      </c>
      <c r="D19">
        <v>375</v>
      </c>
      <c r="E19" t="s">
        <v>5</v>
      </c>
      <c r="F19" t="s">
        <v>47</v>
      </c>
      <c r="G19">
        <v>14</v>
      </c>
      <c r="H19">
        <v>5</v>
      </c>
      <c r="I19">
        <v>1</v>
      </c>
      <c r="J19">
        <v>0</v>
      </c>
      <c r="K19" t="s">
        <v>61</v>
      </c>
      <c r="L19" t="s">
        <v>61</v>
      </c>
      <c r="M19" t="s">
        <v>61</v>
      </c>
      <c r="N19" t="s">
        <v>61</v>
      </c>
      <c r="O19" t="s">
        <v>61</v>
      </c>
      <c r="P19" t="s">
        <v>61</v>
      </c>
      <c r="Q19" t="s">
        <v>61</v>
      </c>
      <c r="R19" t="s">
        <v>61</v>
      </c>
    </row>
    <row r="20" spans="1:18" x14ac:dyDescent="0.25">
      <c r="A20" t="s">
        <v>23</v>
      </c>
      <c r="B20">
        <v>8</v>
      </c>
      <c r="C20">
        <v>6039</v>
      </c>
      <c r="D20">
        <v>210</v>
      </c>
      <c r="E20" t="s">
        <v>42</v>
      </c>
      <c r="F20" t="s">
        <v>47</v>
      </c>
      <c r="G20">
        <v>12</v>
      </c>
      <c r="H20">
        <v>4</v>
      </c>
      <c r="I20">
        <v>2</v>
      </c>
      <c r="J20">
        <v>1</v>
      </c>
      <c r="N20" t="s">
        <v>61</v>
      </c>
      <c r="O20" t="s">
        <v>61</v>
      </c>
      <c r="P20" t="s">
        <v>61</v>
      </c>
      <c r="Q20" t="s">
        <v>61</v>
      </c>
      <c r="R20" t="s">
        <v>61</v>
      </c>
    </row>
    <row r="21" spans="1:18" x14ac:dyDescent="0.25">
      <c r="A21" t="s">
        <v>22</v>
      </c>
      <c r="B21">
        <v>8</v>
      </c>
      <c r="C21">
        <v>13867</v>
      </c>
      <c r="D21">
        <v>728</v>
      </c>
      <c r="E21" t="s">
        <v>42</v>
      </c>
      <c r="F21" t="s">
        <v>47</v>
      </c>
      <c r="G21">
        <v>29</v>
      </c>
      <c r="H21">
        <v>10</v>
      </c>
      <c r="I21">
        <v>4</v>
      </c>
      <c r="J21">
        <v>1</v>
      </c>
      <c r="N21" t="s">
        <v>61</v>
      </c>
      <c r="O21" t="s">
        <v>61</v>
      </c>
      <c r="P21" t="s">
        <v>61</v>
      </c>
      <c r="Q21" t="s">
        <v>61</v>
      </c>
    </row>
    <row r="22" spans="1:18" x14ac:dyDescent="0.25">
      <c r="A22" t="s">
        <v>21</v>
      </c>
      <c r="B22">
        <v>8</v>
      </c>
      <c r="C22">
        <v>17638</v>
      </c>
      <c r="D22">
        <v>2025</v>
      </c>
      <c r="E22" t="s">
        <v>42</v>
      </c>
      <c r="F22" t="s">
        <v>47</v>
      </c>
      <c r="G22">
        <v>40</v>
      </c>
      <c r="H22">
        <v>14</v>
      </c>
      <c r="I22">
        <v>5</v>
      </c>
      <c r="J22">
        <v>2</v>
      </c>
      <c r="Q22" t="s">
        <v>61</v>
      </c>
      <c r="R22" t="s">
        <v>61</v>
      </c>
    </row>
    <row r="23" spans="1:18" x14ac:dyDescent="0.25">
      <c r="A23" t="s">
        <v>20</v>
      </c>
      <c r="B23">
        <v>8</v>
      </c>
      <c r="C23">
        <v>25211</v>
      </c>
      <c r="D23">
        <v>3060</v>
      </c>
      <c r="E23" t="s">
        <v>42</v>
      </c>
      <c r="F23" t="s">
        <v>47</v>
      </c>
      <c r="G23">
        <v>51</v>
      </c>
      <c r="H23">
        <v>17</v>
      </c>
      <c r="I23">
        <v>7</v>
      </c>
      <c r="J23">
        <v>2</v>
      </c>
      <c r="R23" t="s">
        <v>61</v>
      </c>
    </row>
    <row r="24" spans="1:18" x14ac:dyDescent="0.25">
      <c r="A24" t="s">
        <v>19</v>
      </c>
      <c r="B24">
        <v>7</v>
      </c>
      <c r="C24">
        <v>15220</v>
      </c>
      <c r="D24">
        <v>385</v>
      </c>
      <c r="E24" t="s">
        <v>44</v>
      </c>
      <c r="F24" t="s">
        <v>47</v>
      </c>
      <c r="G24">
        <v>15</v>
      </c>
      <c r="H24">
        <v>5</v>
      </c>
      <c r="I24">
        <v>2</v>
      </c>
      <c r="J24">
        <v>1</v>
      </c>
      <c r="K24" t="s">
        <v>61</v>
      </c>
      <c r="L24" t="s">
        <v>61</v>
      </c>
      <c r="M24" t="s">
        <v>61</v>
      </c>
      <c r="N24" t="s">
        <v>61</v>
      </c>
      <c r="O24" t="s">
        <v>61</v>
      </c>
      <c r="P24" t="s">
        <v>61</v>
      </c>
      <c r="Q24" t="s">
        <v>61</v>
      </c>
      <c r="R24" t="s">
        <v>61</v>
      </c>
    </row>
    <row r="25" spans="1:18" x14ac:dyDescent="0.25">
      <c r="A25" t="s">
        <v>18</v>
      </c>
      <c r="B25">
        <v>8</v>
      </c>
      <c r="C25">
        <v>4671</v>
      </c>
      <c r="D25">
        <v>215</v>
      </c>
      <c r="E25" t="s">
        <v>42</v>
      </c>
      <c r="F25" t="s">
        <v>48</v>
      </c>
      <c r="G25">
        <v>15</v>
      </c>
      <c r="H25">
        <v>4</v>
      </c>
      <c r="I25">
        <v>4</v>
      </c>
      <c r="J25">
        <v>4</v>
      </c>
      <c r="O25" t="s">
        <v>61</v>
      </c>
      <c r="P25" t="s">
        <v>61</v>
      </c>
      <c r="R25" t="s">
        <v>61</v>
      </c>
    </row>
    <row r="26" spans="1:18" x14ac:dyDescent="0.25">
      <c r="A26" t="s">
        <v>13</v>
      </c>
      <c r="B26">
        <v>12</v>
      </c>
      <c r="C26">
        <v>16013</v>
      </c>
      <c r="D26">
        <v>180</v>
      </c>
      <c r="E26" t="s">
        <v>41</v>
      </c>
      <c r="F26" t="s">
        <v>47</v>
      </c>
      <c r="G26">
        <v>12</v>
      </c>
      <c r="H26">
        <v>6</v>
      </c>
      <c r="I26">
        <v>2</v>
      </c>
      <c r="J26">
        <v>1</v>
      </c>
      <c r="K26" t="s">
        <v>61</v>
      </c>
      <c r="L26" t="s">
        <v>61</v>
      </c>
      <c r="M26" t="s">
        <v>61</v>
      </c>
      <c r="N26" t="s">
        <v>61</v>
      </c>
      <c r="O26" t="s">
        <v>61</v>
      </c>
      <c r="P26" t="s">
        <v>61</v>
      </c>
    </row>
    <row r="27" spans="1:18" x14ac:dyDescent="0.25">
      <c r="A27" t="s">
        <v>14</v>
      </c>
      <c r="B27">
        <v>11</v>
      </c>
      <c r="C27">
        <v>19540</v>
      </c>
      <c r="D27">
        <v>954</v>
      </c>
      <c r="E27" t="s">
        <v>41</v>
      </c>
      <c r="F27" t="s">
        <v>47</v>
      </c>
      <c r="G27">
        <v>29</v>
      </c>
      <c r="H27">
        <v>15</v>
      </c>
      <c r="I27">
        <v>5</v>
      </c>
      <c r="J27">
        <v>3</v>
      </c>
      <c r="N27" t="s">
        <v>61</v>
      </c>
      <c r="O27" t="s">
        <v>61</v>
      </c>
      <c r="P27" t="s">
        <v>61</v>
      </c>
      <c r="Q27" t="s">
        <v>61</v>
      </c>
      <c r="R27" t="s">
        <v>61</v>
      </c>
    </row>
    <row r="28" spans="1:18" x14ac:dyDescent="0.25">
      <c r="A28" t="s">
        <v>15</v>
      </c>
      <c r="B28">
        <v>11</v>
      </c>
      <c r="C28">
        <v>26037</v>
      </c>
      <c r="D28">
        <v>1995</v>
      </c>
      <c r="E28" t="s">
        <v>41</v>
      </c>
      <c r="F28" t="s">
        <v>47</v>
      </c>
      <c r="G28">
        <v>43</v>
      </c>
      <c r="H28">
        <v>21</v>
      </c>
      <c r="I28">
        <v>8</v>
      </c>
      <c r="J28">
        <v>4</v>
      </c>
      <c r="Q28" t="s">
        <v>61</v>
      </c>
      <c r="R28" t="s">
        <v>61</v>
      </c>
    </row>
    <row r="29" spans="1:18" x14ac:dyDescent="0.25">
      <c r="A29" t="s">
        <v>16</v>
      </c>
      <c r="B29">
        <v>11</v>
      </c>
      <c r="C29">
        <v>32737</v>
      </c>
      <c r="D29">
        <v>2979</v>
      </c>
      <c r="E29" t="s">
        <v>41</v>
      </c>
      <c r="F29" t="s">
        <v>47</v>
      </c>
      <c r="G29">
        <v>53</v>
      </c>
      <c r="H29">
        <v>26</v>
      </c>
      <c r="I29">
        <v>10</v>
      </c>
      <c r="J29">
        <v>5</v>
      </c>
      <c r="R29" t="s">
        <v>61</v>
      </c>
    </row>
    <row r="30" spans="1:18" x14ac:dyDescent="0.25">
      <c r="A30" t="s">
        <v>17</v>
      </c>
      <c r="B30">
        <v>12</v>
      </c>
      <c r="C30">
        <v>27891</v>
      </c>
      <c r="D30">
        <v>2700</v>
      </c>
      <c r="E30" t="s">
        <v>41</v>
      </c>
      <c r="F30" t="s">
        <v>48</v>
      </c>
      <c r="G30">
        <v>48</v>
      </c>
      <c r="H30">
        <v>24</v>
      </c>
      <c r="I30">
        <v>9</v>
      </c>
      <c r="J30">
        <v>5</v>
      </c>
      <c r="R30" t="s">
        <v>61</v>
      </c>
    </row>
    <row r="31" spans="1:18" x14ac:dyDescent="0.25">
      <c r="A31" t="s">
        <v>11</v>
      </c>
      <c r="B31">
        <v>9</v>
      </c>
      <c r="C31">
        <v>20100</v>
      </c>
      <c r="D31">
        <v>375</v>
      </c>
      <c r="E31" t="s">
        <v>43</v>
      </c>
      <c r="F31" t="s">
        <v>47</v>
      </c>
      <c r="G31">
        <v>24</v>
      </c>
      <c r="H31">
        <v>12</v>
      </c>
      <c r="I31">
        <v>4</v>
      </c>
      <c r="J31">
        <v>2</v>
      </c>
      <c r="K31" t="s">
        <v>61</v>
      </c>
      <c r="L31" t="s">
        <v>61</v>
      </c>
      <c r="M31" t="s">
        <v>61</v>
      </c>
      <c r="N31" t="s">
        <v>61</v>
      </c>
      <c r="O31" t="s">
        <v>61</v>
      </c>
      <c r="P31" t="s">
        <v>61</v>
      </c>
      <c r="Q31" t="s">
        <v>61</v>
      </c>
      <c r="R31" t="s">
        <v>61</v>
      </c>
    </row>
    <row r="32" spans="1:18" x14ac:dyDescent="0.25">
      <c r="A32" t="s">
        <v>12</v>
      </c>
      <c r="B32">
        <v>12</v>
      </c>
      <c r="C32">
        <v>44160</v>
      </c>
      <c r="D32">
        <v>375</v>
      </c>
      <c r="E32" t="s">
        <v>6</v>
      </c>
      <c r="F32" t="s">
        <v>47</v>
      </c>
      <c r="G32">
        <v>30</v>
      </c>
      <c r="H32">
        <v>15</v>
      </c>
      <c r="I32">
        <v>6</v>
      </c>
      <c r="J32">
        <v>3</v>
      </c>
      <c r="K32" t="s">
        <v>61</v>
      </c>
      <c r="L32" t="s">
        <v>61</v>
      </c>
      <c r="M32" t="s">
        <v>61</v>
      </c>
      <c r="N32" t="s">
        <v>61</v>
      </c>
      <c r="O32" t="s">
        <v>61</v>
      </c>
      <c r="P32" t="s">
        <v>61</v>
      </c>
      <c r="Q32" t="s">
        <v>61</v>
      </c>
      <c r="R32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43B9-FB36-405A-9491-F644A138F5DE}">
  <dimension ref="A1:H9"/>
  <sheetViews>
    <sheetView workbookViewId="0">
      <selection activeCell="F14" sqref="F14"/>
    </sheetView>
  </sheetViews>
  <sheetFormatPr defaultRowHeight="15" x14ac:dyDescent="0.25"/>
  <cols>
    <col min="1" max="1" width="16.7109375" bestFit="1" customWidth="1"/>
    <col min="2" max="8" width="7.28515625" bestFit="1" customWidth="1"/>
  </cols>
  <sheetData>
    <row r="1" spans="1:8" s="1" customFormat="1" ht="41.25" x14ac:dyDescent="0.25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x14ac:dyDescent="0.25">
      <c r="A2" t="s">
        <v>69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</row>
    <row r="3" spans="1:8" x14ac:dyDescent="0.25">
      <c r="A3" t="s">
        <v>70</v>
      </c>
      <c r="B3">
        <v>125</v>
      </c>
      <c r="C3">
        <v>75</v>
      </c>
      <c r="D3">
        <v>75</v>
      </c>
      <c r="E3">
        <v>100</v>
      </c>
      <c r="F3">
        <v>100</v>
      </c>
      <c r="G3">
        <v>100</v>
      </c>
      <c r="H3">
        <v>100</v>
      </c>
    </row>
    <row r="4" spans="1:8" x14ac:dyDescent="0.25">
      <c r="A4" t="s">
        <v>71</v>
      </c>
      <c r="B4">
        <v>75</v>
      </c>
      <c r="C4">
        <v>100</v>
      </c>
      <c r="D4">
        <v>100</v>
      </c>
      <c r="E4">
        <v>75</v>
      </c>
      <c r="F4">
        <v>100</v>
      </c>
      <c r="G4">
        <v>100</v>
      </c>
      <c r="H4">
        <v>100</v>
      </c>
    </row>
    <row r="5" spans="1:8" x14ac:dyDescent="0.25">
      <c r="A5" t="s">
        <v>72</v>
      </c>
      <c r="B5">
        <v>75</v>
      </c>
      <c r="C5">
        <v>100</v>
      </c>
      <c r="D5">
        <v>100</v>
      </c>
      <c r="E5">
        <v>75</v>
      </c>
      <c r="F5">
        <v>75</v>
      </c>
      <c r="G5">
        <v>75</v>
      </c>
      <c r="H5">
        <v>100</v>
      </c>
    </row>
    <row r="6" spans="1:8" x14ac:dyDescent="0.25">
      <c r="A6" t="s">
        <v>73</v>
      </c>
      <c r="B6">
        <v>100</v>
      </c>
      <c r="C6">
        <v>40</v>
      </c>
      <c r="D6">
        <v>40</v>
      </c>
      <c r="E6">
        <v>100</v>
      </c>
      <c r="F6">
        <v>100</v>
      </c>
      <c r="G6">
        <v>100</v>
      </c>
      <c r="H6">
        <v>40</v>
      </c>
    </row>
    <row r="7" spans="1:8" x14ac:dyDescent="0.25">
      <c r="A7" t="s">
        <v>74</v>
      </c>
      <c r="B7">
        <v>80</v>
      </c>
      <c r="C7">
        <v>100</v>
      </c>
      <c r="D7">
        <v>100</v>
      </c>
      <c r="E7">
        <v>25</v>
      </c>
      <c r="F7">
        <v>80</v>
      </c>
      <c r="G7">
        <v>80</v>
      </c>
      <c r="H7">
        <v>100</v>
      </c>
    </row>
    <row r="8" spans="1:8" x14ac:dyDescent="0.25">
      <c r="A8" t="s">
        <v>75</v>
      </c>
      <c r="B8">
        <v>40</v>
      </c>
      <c r="C8">
        <v>100</v>
      </c>
      <c r="D8">
        <v>100</v>
      </c>
      <c r="E8">
        <v>100</v>
      </c>
      <c r="F8">
        <v>100</v>
      </c>
      <c r="G8">
        <v>40</v>
      </c>
      <c r="H8">
        <v>100</v>
      </c>
    </row>
    <row r="9" spans="1:8" x14ac:dyDescent="0.25">
      <c r="A9" t="s">
        <v>76</v>
      </c>
      <c r="B9">
        <v>150</v>
      </c>
      <c r="C9">
        <v>40</v>
      </c>
      <c r="D9">
        <v>40</v>
      </c>
      <c r="E9">
        <v>40</v>
      </c>
      <c r="F9">
        <v>100</v>
      </c>
      <c r="G9">
        <v>100</v>
      </c>
      <c r="H9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3B62-6624-4F1C-82D0-1233607B3FD2}">
  <dimension ref="A1:N25"/>
  <sheetViews>
    <sheetView workbookViewId="0">
      <selection activeCell="G1" sqref="G1:N1"/>
    </sheetView>
  </sheetViews>
  <sheetFormatPr defaultRowHeight="15" x14ac:dyDescent="0.25"/>
  <cols>
    <col min="1" max="1" width="13.85546875" bestFit="1" customWidth="1"/>
    <col min="2" max="14" width="7.28515625" bestFit="1" customWidth="1"/>
  </cols>
  <sheetData>
    <row r="1" spans="1:14" s="1" customFormat="1" ht="99.75" x14ac:dyDescent="0.25">
      <c r="A1" s="1" t="s">
        <v>0</v>
      </c>
      <c r="B1" s="1" t="s">
        <v>77</v>
      </c>
      <c r="C1" s="1" t="s">
        <v>103</v>
      </c>
      <c r="D1" s="1" t="s">
        <v>8</v>
      </c>
      <c r="E1" s="1" t="s">
        <v>1</v>
      </c>
      <c r="F1" s="1" t="s">
        <v>78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58</v>
      </c>
      <c r="L1" s="2" t="s">
        <v>57</v>
      </c>
      <c r="M1" s="2" t="s">
        <v>59</v>
      </c>
      <c r="N1" s="3" t="s">
        <v>60</v>
      </c>
    </row>
    <row r="2" spans="1:14" x14ac:dyDescent="0.25">
      <c r="A2" t="s">
        <v>79</v>
      </c>
      <c r="B2">
        <v>0</v>
      </c>
      <c r="C2">
        <v>400</v>
      </c>
      <c r="D2">
        <v>50</v>
      </c>
      <c r="E2">
        <v>291</v>
      </c>
      <c r="F2">
        <v>120</v>
      </c>
      <c r="G2" t="s">
        <v>61</v>
      </c>
      <c r="H2" t="s">
        <v>61</v>
      </c>
    </row>
    <row r="3" spans="1:14" x14ac:dyDescent="0.25">
      <c r="A3" t="s">
        <v>80</v>
      </c>
      <c r="B3">
        <v>0</v>
      </c>
      <c r="C3">
        <v>266</v>
      </c>
      <c r="D3">
        <v>236</v>
      </c>
      <c r="E3">
        <v>458</v>
      </c>
      <c r="F3">
        <v>180</v>
      </c>
      <c r="I3" t="s">
        <v>61</v>
      </c>
    </row>
    <row r="4" spans="1:14" x14ac:dyDescent="0.25">
      <c r="A4" t="s">
        <v>81</v>
      </c>
      <c r="B4">
        <v>1</v>
      </c>
      <c r="C4">
        <v>167</v>
      </c>
      <c r="D4">
        <v>400</v>
      </c>
      <c r="E4">
        <v>587</v>
      </c>
      <c r="F4">
        <v>240</v>
      </c>
      <c r="J4" t="s">
        <v>61</v>
      </c>
      <c r="K4" t="s">
        <v>61</v>
      </c>
    </row>
    <row r="5" spans="1:14" x14ac:dyDescent="0.25">
      <c r="A5" t="s">
        <v>82</v>
      </c>
      <c r="B5">
        <v>1</v>
      </c>
      <c r="C5">
        <v>111</v>
      </c>
      <c r="D5">
        <v>943</v>
      </c>
      <c r="E5">
        <v>780</v>
      </c>
      <c r="F5">
        <v>360</v>
      </c>
      <c r="L5" t="s">
        <v>61</v>
      </c>
    </row>
    <row r="6" spans="1:14" x14ac:dyDescent="0.25">
      <c r="A6" t="s">
        <v>83</v>
      </c>
      <c r="B6">
        <v>1</v>
      </c>
      <c r="C6">
        <v>91</v>
      </c>
      <c r="D6">
        <v>1000</v>
      </c>
      <c r="E6">
        <v>800</v>
      </c>
      <c r="F6">
        <v>420</v>
      </c>
      <c r="M6" t="s">
        <v>61</v>
      </c>
    </row>
    <row r="7" spans="1:14" x14ac:dyDescent="0.25">
      <c r="A7" t="s">
        <v>84</v>
      </c>
      <c r="B7">
        <v>1</v>
      </c>
      <c r="C7">
        <v>67</v>
      </c>
      <c r="D7">
        <v>1333</v>
      </c>
      <c r="E7">
        <v>904</v>
      </c>
      <c r="F7">
        <v>480</v>
      </c>
      <c r="N7" t="s">
        <v>61</v>
      </c>
    </row>
    <row r="8" spans="1:14" x14ac:dyDescent="0.25">
      <c r="A8" t="s">
        <v>85</v>
      </c>
      <c r="B8">
        <v>1</v>
      </c>
      <c r="C8">
        <v>400</v>
      </c>
      <c r="D8">
        <v>50</v>
      </c>
      <c r="E8">
        <v>100</v>
      </c>
      <c r="F8">
        <v>108</v>
      </c>
      <c r="G8" t="s">
        <v>61</v>
      </c>
      <c r="H8" t="s">
        <v>61</v>
      </c>
    </row>
    <row r="9" spans="1:14" x14ac:dyDescent="0.25">
      <c r="A9" t="s">
        <v>86</v>
      </c>
      <c r="B9">
        <v>1</v>
      </c>
      <c r="C9">
        <v>250</v>
      </c>
      <c r="D9">
        <v>164</v>
      </c>
      <c r="E9">
        <v>100</v>
      </c>
      <c r="F9">
        <v>150</v>
      </c>
      <c r="I9" t="s">
        <v>61</v>
      </c>
      <c r="M9" t="s">
        <v>61</v>
      </c>
    </row>
    <row r="10" spans="1:14" x14ac:dyDescent="0.25">
      <c r="A10" t="s">
        <v>87</v>
      </c>
      <c r="B10">
        <v>1</v>
      </c>
      <c r="C10">
        <v>140</v>
      </c>
      <c r="D10">
        <v>200</v>
      </c>
      <c r="E10">
        <v>125</v>
      </c>
      <c r="F10">
        <v>180</v>
      </c>
      <c r="J10" t="s">
        <v>61</v>
      </c>
      <c r="K10" t="s">
        <v>61</v>
      </c>
    </row>
    <row r="11" spans="1:14" x14ac:dyDescent="0.25">
      <c r="A11" t="s">
        <v>88</v>
      </c>
      <c r="B11">
        <v>1</v>
      </c>
      <c r="C11">
        <v>110</v>
      </c>
      <c r="D11">
        <v>200</v>
      </c>
      <c r="E11">
        <v>100</v>
      </c>
      <c r="F11">
        <v>300</v>
      </c>
      <c r="L11" t="s">
        <v>61</v>
      </c>
    </row>
    <row r="12" spans="1:14" x14ac:dyDescent="0.25">
      <c r="A12" t="s">
        <v>89</v>
      </c>
      <c r="B12">
        <v>1</v>
      </c>
      <c r="C12">
        <v>90</v>
      </c>
      <c r="D12">
        <v>200</v>
      </c>
      <c r="E12">
        <v>150</v>
      </c>
      <c r="F12">
        <v>330</v>
      </c>
      <c r="M12" t="s">
        <v>61</v>
      </c>
    </row>
    <row r="13" spans="1:14" x14ac:dyDescent="0.25">
      <c r="A13" t="s">
        <v>90</v>
      </c>
      <c r="B13">
        <v>1</v>
      </c>
      <c r="C13">
        <v>67</v>
      </c>
      <c r="D13">
        <v>400</v>
      </c>
      <c r="E13">
        <v>150</v>
      </c>
      <c r="F13">
        <v>390</v>
      </c>
      <c r="N13" t="s">
        <v>61</v>
      </c>
    </row>
    <row r="14" spans="1:14" x14ac:dyDescent="0.25">
      <c r="A14" t="s">
        <v>91</v>
      </c>
      <c r="B14">
        <v>4</v>
      </c>
      <c r="C14">
        <v>400</v>
      </c>
      <c r="D14">
        <v>51</v>
      </c>
      <c r="E14">
        <v>634</v>
      </c>
      <c r="F14">
        <v>158</v>
      </c>
      <c r="G14" t="s">
        <v>61</v>
      </c>
      <c r="H14" t="s">
        <v>61</v>
      </c>
    </row>
    <row r="15" spans="1:14" x14ac:dyDescent="0.25">
      <c r="A15" t="s">
        <v>92</v>
      </c>
      <c r="B15">
        <v>4</v>
      </c>
      <c r="C15">
        <v>266</v>
      </c>
      <c r="D15">
        <v>238</v>
      </c>
      <c r="E15">
        <v>1221</v>
      </c>
      <c r="F15">
        <v>197</v>
      </c>
      <c r="I15" t="s">
        <v>61</v>
      </c>
    </row>
    <row r="16" spans="1:14" x14ac:dyDescent="0.25">
      <c r="A16" t="s">
        <v>93</v>
      </c>
      <c r="B16">
        <v>4</v>
      </c>
      <c r="C16">
        <v>167</v>
      </c>
      <c r="D16">
        <v>408</v>
      </c>
      <c r="E16">
        <v>1841</v>
      </c>
      <c r="F16">
        <v>261</v>
      </c>
      <c r="J16" t="s">
        <v>61</v>
      </c>
      <c r="K16" t="s">
        <v>61</v>
      </c>
    </row>
    <row r="17" spans="1:14" x14ac:dyDescent="0.25">
      <c r="A17" t="s">
        <v>94</v>
      </c>
      <c r="B17">
        <v>4</v>
      </c>
      <c r="C17">
        <v>111</v>
      </c>
      <c r="D17">
        <v>958</v>
      </c>
      <c r="E17">
        <v>2136</v>
      </c>
      <c r="F17">
        <v>396</v>
      </c>
      <c r="L17" t="s">
        <v>61</v>
      </c>
    </row>
    <row r="18" spans="1:14" x14ac:dyDescent="0.25">
      <c r="A18" t="s">
        <v>95</v>
      </c>
      <c r="B18">
        <v>4</v>
      </c>
      <c r="C18">
        <v>91</v>
      </c>
      <c r="D18">
        <v>1020</v>
      </c>
      <c r="E18">
        <v>2461</v>
      </c>
      <c r="F18">
        <v>459</v>
      </c>
      <c r="M18" t="s">
        <v>61</v>
      </c>
    </row>
    <row r="19" spans="1:14" x14ac:dyDescent="0.25">
      <c r="A19" t="s">
        <v>96</v>
      </c>
      <c r="B19">
        <v>4</v>
      </c>
      <c r="C19">
        <v>67</v>
      </c>
      <c r="D19">
        <v>1359</v>
      </c>
      <c r="E19">
        <v>2727</v>
      </c>
      <c r="F19">
        <v>527</v>
      </c>
      <c r="N19" t="s">
        <v>61</v>
      </c>
    </row>
    <row r="20" spans="1:14" x14ac:dyDescent="0.25">
      <c r="A20" t="s">
        <v>97</v>
      </c>
      <c r="B20">
        <v>9</v>
      </c>
      <c r="C20">
        <v>400</v>
      </c>
      <c r="D20">
        <v>52</v>
      </c>
      <c r="E20">
        <v>1867</v>
      </c>
      <c r="F20">
        <v>174</v>
      </c>
      <c r="G20" t="s">
        <v>61</v>
      </c>
      <c r="H20" t="s">
        <v>61</v>
      </c>
    </row>
    <row r="21" spans="1:14" x14ac:dyDescent="0.25">
      <c r="A21" t="s">
        <v>98</v>
      </c>
      <c r="B21">
        <v>9</v>
      </c>
      <c r="C21">
        <v>266</v>
      </c>
      <c r="D21">
        <v>240</v>
      </c>
      <c r="E21">
        <v>3599</v>
      </c>
      <c r="F21">
        <v>215</v>
      </c>
      <c r="I21" t="s">
        <v>61</v>
      </c>
    </row>
    <row r="22" spans="1:14" x14ac:dyDescent="0.25">
      <c r="A22" t="s">
        <v>99</v>
      </c>
      <c r="B22">
        <v>9</v>
      </c>
      <c r="C22">
        <v>167</v>
      </c>
      <c r="D22">
        <v>412</v>
      </c>
      <c r="E22">
        <v>5490</v>
      </c>
      <c r="F22">
        <v>288</v>
      </c>
      <c r="J22" t="s">
        <v>61</v>
      </c>
      <c r="K22" t="s">
        <v>61</v>
      </c>
    </row>
    <row r="23" spans="1:14" x14ac:dyDescent="0.25">
      <c r="A23" t="s">
        <v>100</v>
      </c>
      <c r="B23">
        <v>9</v>
      </c>
      <c r="C23">
        <v>111</v>
      </c>
      <c r="D23">
        <v>973</v>
      </c>
      <c r="E23">
        <v>6399</v>
      </c>
      <c r="F23">
        <v>435</v>
      </c>
      <c r="L23" t="s">
        <v>61</v>
      </c>
    </row>
    <row r="24" spans="1:14" x14ac:dyDescent="0.25">
      <c r="A24" t="s">
        <v>101</v>
      </c>
      <c r="B24">
        <v>9</v>
      </c>
      <c r="C24">
        <v>91</v>
      </c>
      <c r="D24">
        <v>1040</v>
      </c>
      <c r="E24">
        <v>7201</v>
      </c>
      <c r="F24">
        <v>471</v>
      </c>
      <c r="M24" t="s">
        <v>61</v>
      </c>
    </row>
    <row r="25" spans="1:14" x14ac:dyDescent="0.25">
      <c r="A25" t="s">
        <v>102</v>
      </c>
      <c r="B25">
        <v>9</v>
      </c>
      <c r="C25">
        <v>67</v>
      </c>
      <c r="D25">
        <v>1385</v>
      </c>
      <c r="E25">
        <v>8100</v>
      </c>
      <c r="F25">
        <v>577</v>
      </c>
      <c r="N25" t="s">
        <v>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C6F7-5EC2-4271-9F99-F7E88BD647C3}">
  <dimension ref="A1:G9"/>
  <sheetViews>
    <sheetView workbookViewId="0">
      <selection activeCell="N1" sqref="N1"/>
    </sheetView>
  </sheetViews>
  <sheetFormatPr defaultRowHeight="15" x14ac:dyDescent="0.25"/>
  <cols>
    <col min="1" max="1" width="10.7109375" bestFit="1" customWidth="1"/>
    <col min="2" max="5" width="7.28515625" bestFit="1" customWidth="1"/>
    <col min="6" max="6" width="8.42578125" bestFit="1" customWidth="1"/>
    <col min="7" max="7" width="7.28515625" bestFit="1" customWidth="1"/>
  </cols>
  <sheetData>
    <row r="1" spans="1:7" s="1" customFormat="1" ht="75.75" x14ac:dyDescent="0.25">
      <c r="A1" s="1" t="s">
        <v>104</v>
      </c>
      <c r="B1" s="1" t="s">
        <v>106</v>
      </c>
      <c r="C1" s="1" t="s">
        <v>103</v>
      </c>
      <c r="D1" s="1" t="s">
        <v>105</v>
      </c>
      <c r="E1" s="1" t="s">
        <v>1</v>
      </c>
      <c r="F1" s="1" t="s">
        <v>111</v>
      </c>
      <c r="G1" s="1" t="s">
        <v>112</v>
      </c>
    </row>
    <row r="2" spans="1:7" x14ac:dyDescent="0.25">
      <c r="A2" t="s">
        <v>53</v>
      </c>
      <c r="B2">
        <v>0</v>
      </c>
      <c r="C2">
        <v>100</v>
      </c>
      <c r="D2">
        <v>500</v>
      </c>
      <c r="E2">
        <v>500</v>
      </c>
      <c r="F2" t="s">
        <v>107</v>
      </c>
      <c r="G2">
        <v>10</v>
      </c>
    </row>
    <row r="3" spans="1:7" x14ac:dyDescent="0.25">
      <c r="A3" t="s">
        <v>54</v>
      </c>
      <c r="B3">
        <v>0</v>
      </c>
      <c r="C3">
        <v>90</v>
      </c>
      <c r="D3">
        <v>700</v>
      </c>
      <c r="E3">
        <v>1000</v>
      </c>
      <c r="F3" t="s">
        <v>108</v>
      </c>
      <c r="G3">
        <v>10</v>
      </c>
    </row>
    <row r="4" spans="1:7" x14ac:dyDescent="0.25">
      <c r="A4" t="s">
        <v>55</v>
      </c>
      <c r="B4">
        <v>1</v>
      </c>
      <c r="C4">
        <v>75</v>
      </c>
      <c r="D4">
        <v>1500</v>
      </c>
      <c r="E4">
        <v>1750</v>
      </c>
      <c r="F4" t="s">
        <v>109</v>
      </c>
      <c r="G4">
        <v>15</v>
      </c>
    </row>
    <row r="5" spans="1:7" x14ac:dyDescent="0.25">
      <c r="A5" t="s">
        <v>56</v>
      </c>
      <c r="B5">
        <v>1</v>
      </c>
      <c r="C5">
        <v>60</v>
      </c>
      <c r="D5">
        <v>4000</v>
      </c>
      <c r="E5">
        <v>5000</v>
      </c>
      <c r="F5" t="s">
        <v>110</v>
      </c>
      <c r="G5">
        <v>20</v>
      </c>
    </row>
    <row r="6" spans="1:7" x14ac:dyDescent="0.25">
      <c r="A6" t="s">
        <v>58</v>
      </c>
      <c r="B6">
        <v>1</v>
      </c>
      <c r="C6">
        <v>50</v>
      </c>
      <c r="D6">
        <v>6000</v>
      </c>
      <c r="E6">
        <v>9000</v>
      </c>
      <c r="F6" t="s">
        <v>110</v>
      </c>
      <c r="G6">
        <v>23</v>
      </c>
    </row>
    <row r="7" spans="1:7" x14ac:dyDescent="0.25">
      <c r="A7" t="s">
        <v>57</v>
      </c>
      <c r="B7">
        <v>3</v>
      </c>
      <c r="C7">
        <v>40</v>
      </c>
      <c r="D7">
        <v>12000</v>
      </c>
      <c r="E7">
        <v>19000</v>
      </c>
      <c r="F7" t="s">
        <v>110</v>
      </c>
      <c r="G7">
        <v>28</v>
      </c>
    </row>
    <row r="8" spans="1:7" x14ac:dyDescent="0.25">
      <c r="A8" t="s">
        <v>59</v>
      </c>
      <c r="B8">
        <v>6</v>
      </c>
      <c r="C8">
        <v>30</v>
      </c>
      <c r="D8">
        <v>15000</v>
      </c>
      <c r="E8">
        <v>33000</v>
      </c>
      <c r="F8" t="s">
        <v>110</v>
      </c>
      <c r="G8">
        <v>32</v>
      </c>
    </row>
    <row r="9" spans="1:7" x14ac:dyDescent="0.25">
      <c r="A9" t="s">
        <v>60</v>
      </c>
      <c r="B9">
        <v>9</v>
      </c>
      <c r="C9">
        <v>20</v>
      </c>
      <c r="D9">
        <v>20000</v>
      </c>
      <c r="E9">
        <v>60000</v>
      </c>
      <c r="F9" t="s">
        <v>110</v>
      </c>
      <c r="G9"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5263-6180-4CB9-A9F8-560C2C6E761F}">
  <dimension ref="A1:N25"/>
  <sheetViews>
    <sheetView workbookViewId="0">
      <selection activeCell="N1" sqref="G1:N1"/>
    </sheetView>
  </sheetViews>
  <sheetFormatPr defaultRowHeight="15" x14ac:dyDescent="0.25"/>
  <cols>
    <col min="1" max="1" width="13.85546875" bestFit="1" customWidth="1"/>
    <col min="2" max="14" width="7.28515625" bestFit="1" customWidth="1"/>
  </cols>
  <sheetData>
    <row r="1" spans="1:14" s="1" customFormat="1" ht="87.75" x14ac:dyDescent="0.25">
      <c r="A1" s="1" t="s">
        <v>0</v>
      </c>
      <c r="B1" s="1" t="s">
        <v>77</v>
      </c>
      <c r="C1" s="1" t="s">
        <v>103</v>
      </c>
      <c r="D1" s="1" t="s">
        <v>8</v>
      </c>
      <c r="E1" s="1" t="s">
        <v>1</v>
      </c>
      <c r="F1" s="1" t="s">
        <v>139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58</v>
      </c>
      <c r="L1" s="2" t="s">
        <v>57</v>
      </c>
      <c r="M1" s="2" t="s">
        <v>59</v>
      </c>
      <c r="N1" s="3" t="s">
        <v>60</v>
      </c>
    </row>
    <row r="2" spans="1:14" x14ac:dyDescent="0.25">
      <c r="A2" t="s">
        <v>115</v>
      </c>
      <c r="B2">
        <v>0</v>
      </c>
      <c r="C2">
        <v>200</v>
      </c>
      <c r="D2" t="s">
        <v>113</v>
      </c>
      <c r="E2">
        <v>100</v>
      </c>
      <c r="F2">
        <v>9000</v>
      </c>
      <c r="G2" t="s">
        <v>61</v>
      </c>
      <c r="H2" t="s">
        <v>61</v>
      </c>
    </row>
    <row r="3" spans="1:14" x14ac:dyDescent="0.25">
      <c r="A3" t="s">
        <v>116</v>
      </c>
      <c r="B3">
        <v>0</v>
      </c>
      <c r="C3">
        <v>200</v>
      </c>
      <c r="D3" t="s">
        <v>113</v>
      </c>
      <c r="E3">
        <v>374</v>
      </c>
      <c r="F3">
        <v>10500</v>
      </c>
      <c r="G3" t="s">
        <v>61</v>
      </c>
      <c r="H3" t="s">
        <v>61</v>
      </c>
    </row>
    <row r="4" spans="1:14" x14ac:dyDescent="0.25">
      <c r="A4" t="s">
        <v>117</v>
      </c>
      <c r="B4">
        <v>8</v>
      </c>
      <c r="C4">
        <v>200</v>
      </c>
      <c r="D4" t="s">
        <v>113</v>
      </c>
      <c r="E4">
        <v>1533</v>
      </c>
      <c r="F4">
        <v>12000</v>
      </c>
      <c r="G4" t="s">
        <v>61</v>
      </c>
      <c r="H4" t="s">
        <v>61</v>
      </c>
    </row>
    <row r="5" spans="1:14" x14ac:dyDescent="0.25">
      <c r="A5" t="s">
        <v>118</v>
      </c>
      <c r="B5">
        <v>12</v>
      </c>
      <c r="C5">
        <v>200</v>
      </c>
      <c r="D5" t="s">
        <v>113</v>
      </c>
      <c r="E5">
        <v>8622</v>
      </c>
      <c r="F5">
        <v>13000</v>
      </c>
      <c r="G5" t="s">
        <v>61</v>
      </c>
      <c r="H5" t="s">
        <v>61</v>
      </c>
    </row>
    <row r="6" spans="1:14" x14ac:dyDescent="0.25">
      <c r="A6" t="s">
        <v>119</v>
      </c>
      <c r="B6">
        <v>0</v>
      </c>
      <c r="C6">
        <v>133</v>
      </c>
      <c r="D6" t="s">
        <v>113</v>
      </c>
      <c r="E6">
        <v>200</v>
      </c>
      <c r="F6">
        <v>9000</v>
      </c>
      <c r="I6" t="s">
        <v>61</v>
      </c>
    </row>
    <row r="7" spans="1:14" x14ac:dyDescent="0.25">
      <c r="A7" t="s">
        <v>120</v>
      </c>
      <c r="B7">
        <v>1</v>
      </c>
      <c r="C7">
        <v>133</v>
      </c>
      <c r="D7" t="s">
        <v>113</v>
      </c>
      <c r="E7">
        <v>428</v>
      </c>
      <c r="F7">
        <v>10500</v>
      </c>
      <c r="I7" t="s">
        <v>61</v>
      </c>
    </row>
    <row r="8" spans="1:14" x14ac:dyDescent="0.25">
      <c r="A8" t="s">
        <v>121</v>
      </c>
      <c r="B8">
        <v>7</v>
      </c>
      <c r="C8">
        <v>133</v>
      </c>
      <c r="D8" t="s">
        <v>113</v>
      </c>
      <c r="E8">
        <v>2371</v>
      </c>
      <c r="F8">
        <v>12000</v>
      </c>
      <c r="I8" t="s">
        <v>61</v>
      </c>
    </row>
    <row r="9" spans="1:14" x14ac:dyDescent="0.25">
      <c r="A9" t="s">
        <v>122</v>
      </c>
      <c r="B9">
        <v>12</v>
      </c>
      <c r="C9">
        <v>133</v>
      </c>
      <c r="D9" t="s">
        <v>113</v>
      </c>
      <c r="E9">
        <v>9399</v>
      </c>
      <c r="F9">
        <v>14000</v>
      </c>
      <c r="I9" t="s">
        <v>61</v>
      </c>
    </row>
    <row r="10" spans="1:14" x14ac:dyDescent="0.25">
      <c r="A10" t="s">
        <v>123</v>
      </c>
      <c r="B10">
        <v>1</v>
      </c>
      <c r="C10">
        <v>83</v>
      </c>
      <c r="D10" t="s">
        <v>113</v>
      </c>
      <c r="E10">
        <v>300</v>
      </c>
      <c r="F10">
        <v>9000</v>
      </c>
      <c r="J10" t="s">
        <v>61</v>
      </c>
    </row>
    <row r="11" spans="1:14" x14ac:dyDescent="0.25">
      <c r="A11" t="s">
        <v>124</v>
      </c>
      <c r="B11">
        <v>1</v>
      </c>
      <c r="C11">
        <v>83</v>
      </c>
      <c r="D11" t="s">
        <v>113</v>
      </c>
      <c r="E11">
        <v>892</v>
      </c>
      <c r="F11">
        <v>10500</v>
      </c>
      <c r="J11" t="s">
        <v>61</v>
      </c>
    </row>
    <row r="12" spans="1:14" x14ac:dyDescent="0.25">
      <c r="A12" t="s">
        <v>125</v>
      </c>
      <c r="B12">
        <v>7</v>
      </c>
      <c r="C12">
        <v>83</v>
      </c>
      <c r="D12" t="s">
        <v>113</v>
      </c>
      <c r="E12">
        <v>4756</v>
      </c>
      <c r="F12">
        <v>12000</v>
      </c>
      <c r="J12" t="s">
        <v>61</v>
      </c>
    </row>
    <row r="13" spans="1:14" x14ac:dyDescent="0.25">
      <c r="A13" t="s">
        <v>126</v>
      </c>
      <c r="B13">
        <v>11</v>
      </c>
      <c r="C13">
        <v>83</v>
      </c>
      <c r="D13" t="s">
        <v>113</v>
      </c>
      <c r="E13">
        <v>18739</v>
      </c>
      <c r="F13">
        <v>14000</v>
      </c>
      <c r="J13" t="s">
        <v>61</v>
      </c>
    </row>
    <row r="14" spans="1:14" x14ac:dyDescent="0.25">
      <c r="A14" t="s">
        <v>127</v>
      </c>
      <c r="B14">
        <v>1</v>
      </c>
      <c r="C14">
        <v>56</v>
      </c>
      <c r="D14" t="s">
        <v>113</v>
      </c>
      <c r="E14">
        <v>400</v>
      </c>
      <c r="F14">
        <v>9000</v>
      </c>
      <c r="K14" t="s">
        <v>61</v>
      </c>
      <c r="L14" t="s">
        <v>61</v>
      </c>
    </row>
    <row r="15" spans="1:14" x14ac:dyDescent="0.25">
      <c r="A15" t="s">
        <v>128</v>
      </c>
      <c r="B15">
        <v>1</v>
      </c>
      <c r="C15">
        <v>56</v>
      </c>
      <c r="D15" t="s">
        <v>113</v>
      </c>
      <c r="E15">
        <v>1325</v>
      </c>
      <c r="F15">
        <v>10500</v>
      </c>
      <c r="K15" t="s">
        <v>61</v>
      </c>
      <c r="L15" t="s">
        <v>61</v>
      </c>
    </row>
    <row r="16" spans="1:14" x14ac:dyDescent="0.25">
      <c r="A16" t="s">
        <v>129</v>
      </c>
      <c r="B16">
        <v>6</v>
      </c>
      <c r="C16">
        <v>56</v>
      </c>
      <c r="D16" t="s">
        <v>113</v>
      </c>
      <c r="E16">
        <v>5872</v>
      </c>
      <c r="F16">
        <v>12000</v>
      </c>
      <c r="K16" t="s">
        <v>61</v>
      </c>
      <c r="L16" t="s">
        <v>61</v>
      </c>
    </row>
    <row r="17" spans="1:14" x14ac:dyDescent="0.25">
      <c r="A17" t="s">
        <v>130</v>
      </c>
      <c r="B17">
        <v>10</v>
      </c>
      <c r="C17">
        <v>56</v>
      </c>
      <c r="D17" t="s">
        <v>113</v>
      </c>
      <c r="E17">
        <v>28730</v>
      </c>
      <c r="F17">
        <v>14000</v>
      </c>
      <c r="K17" t="s">
        <v>61</v>
      </c>
      <c r="L17" t="s">
        <v>61</v>
      </c>
    </row>
    <row r="18" spans="1:14" x14ac:dyDescent="0.25">
      <c r="A18" t="s">
        <v>131</v>
      </c>
      <c r="B18">
        <v>1</v>
      </c>
      <c r="C18">
        <v>45</v>
      </c>
      <c r="D18" t="s">
        <v>113</v>
      </c>
      <c r="E18">
        <v>500</v>
      </c>
      <c r="F18">
        <v>9000</v>
      </c>
      <c r="M18" t="s">
        <v>61</v>
      </c>
    </row>
    <row r="19" spans="1:14" x14ac:dyDescent="0.25">
      <c r="A19" t="s">
        <v>132</v>
      </c>
      <c r="B19">
        <v>1</v>
      </c>
      <c r="C19">
        <v>45</v>
      </c>
      <c r="D19" t="s">
        <v>113</v>
      </c>
      <c r="E19">
        <v>1600</v>
      </c>
      <c r="F19">
        <v>10500</v>
      </c>
      <c r="M19" t="s">
        <v>61</v>
      </c>
    </row>
    <row r="20" spans="1:14" x14ac:dyDescent="0.25">
      <c r="A20" t="s">
        <v>133</v>
      </c>
      <c r="B20">
        <v>6</v>
      </c>
      <c r="C20">
        <v>45</v>
      </c>
      <c r="D20" t="s">
        <v>113</v>
      </c>
      <c r="E20">
        <v>7619</v>
      </c>
      <c r="F20">
        <v>12000</v>
      </c>
      <c r="M20" t="s">
        <v>61</v>
      </c>
    </row>
    <row r="21" spans="1:14" x14ac:dyDescent="0.25">
      <c r="A21" t="s">
        <v>134</v>
      </c>
      <c r="B21">
        <v>10</v>
      </c>
      <c r="C21">
        <v>45</v>
      </c>
      <c r="D21" t="s">
        <v>113</v>
      </c>
      <c r="E21">
        <v>31248</v>
      </c>
      <c r="F21">
        <v>14000</v>
      </c>
      <c r="M21" t="s">
        <v>61</v>
      </c>
    </row>
    <row r="22" spans="1:14" x14ac:dyDescent="0.25">
      <c r="A22" t="s">
        <v>135</v>
      </c>
      <c r="B22">
        <v>1</v>
      </c>
      <c r="C22">
        <v>33</v>
      </c>
      <c r="D22" t="s">
        <v>113</v>
      </c>
      <c r="E22">
        <v>618</v>
      </c>
      <c r="F22">
        <v>9000</v>
      </c>
      <c r="N22" t="s">
        <v>61</v>
      </c>
    </row>
    <row r="23" spans="1:14" x14ac:dyDescent="0.25">
      <c r="A23" t="s">
        <v>136</v>
      </c>
      <c r="B23">
        <v>1</v>
      </c>
      <c r="C23">
        <v>33</v>
      </c>
      <c r="D23" t="s">
        <v>113</v>
      </c>
      <c r="E23">
        <v>2239</v>
      </c>
      <c r="F23">
        <v>10500</v>
      </c>
      <c r="N23" t="s">
        <v>61</v>
      </c>
    </row>
    <row r="24" spans="1:14" x14ac:dyDescent="0.25">
      <c r="A24" t="s">
        <v>137</v>
      </c>
      <c r="B24">
        <v>6</v>
      </c>
      <c r="C24">
        <v>33</v>
      </c>
      <c r="D24" t="s">
        <v>113</v>
      </c>
      <c r="E24">
        <v>10999</v>
      </c>
      <c r="F24">
        <v>12000</v>
      </c>
      <c r="N24" t="s">
        <v>61</v>
      </c>
    </row>
    <row r="25" spans="1:14" x14ac:dyDescent="0.25">
      <c r="A25" t="s">
        <v>138</v>
      </c>
      <c r="B25">
        <v>10</v>
      </c>
      <c r="C25">
        <v>33</v>
      </c>
      <c r="D25" t="s">
        <v>113</v>
      </c>
      <c r="E25">
        <v>43676</v>
      </c>
      <c r="F25">
        <v>14000</v>
      </c>
      <c r="N25" t="s">
        <v>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7EF8-77AB-46BB-8311-2466FC7C2A62}">
  <dimension ref="A1:J30"/>
  <sheetViews>
    <sheetView workbookViewId="0">
      <selection activeCell="I7" sqref="I7"/>
    </sheetView>
  </sheetViews>
  <sheetFormatPr defaultRowHeight="15" x14ac:dyDescent="0.25"/>
  <cols>
    <col min="1" max="1" width="32.5703125" bestFit="1" customWidth="1"/>
    <col min="2" max="8" width="7.28515625" bestFit="1" customWidth="1"/>
    <col min="9" max="9" width="111.7109375" bestFit="1" customWidth="1"/>
    <col min="10" max="10" width="7.28515625" bestFit="1" customWidth="1"/>
  </cols>
  <sheetData>
    <row r="1" spans="1:10" s="1" customFormat="1" ht="63" x14ac:dyDescent="0.25">
      <c r="A1" s="1" t="s">
        <v>0</v>
      </c>
      <c r="B1" s="1" t="s">
        <v>176</v>
      </c>
      <c r="C1" s="1" t="s">
        <v>140</v>
      </c>
      <c r="D1" s="1" t="s">
        <v>141</v>
      </c>
      <c r="E1" s="1" t="s">
        <v>105</v>
      </c>
      <c r="F1" s="1" t="s">
        <v>1</v>
      </c>
      <c r="G1" s="1" t="s">
        <v>173</v>
      </c>
      <c r="H1" s="1" t="s">
        <v>174</v>
      </c>
      <c r="I1" s="1" t="s">
        <v>175</v>
      </c>
      <c r="J1" s="1" t="s">
        <v>142</v>
      </c>
    </row>
    <row r="2" spans="1:10" x14ac:dyDescent="0.25">
      <c r="A2" t="s">
        <v>159</v>
      </c>
      <c r="B2">
        <v>0</v>
      </c>
      <c r="C2">
        <v>40</v>
      </c>
      <c r="D2">
        <v>200</v>
      </c>
      <c r="E2">
        <v>100</v>
      </c>
      <c r="F2">
        <v>10</v>
      </c>
      <c r="G2">
        <v>10</v>
      </c>
      <c r="H2" t="s">
        <v>143</v>
      </c>
      <c r="I2" t="s">
        <v>177</v>
      </c>
    </row>
    <row r="3" spans="1:10" x14ac:dyDescent="0.25">
      <c r="A3" t="s">
        <v>144</v>
      </c>
      <c r="B3">
        <v>1</v>
      </c>
      <c r="C3">
        <v>40</v>
      </c>
      <c r="D3">
        <v>200</v>
      </c>
      <c r="E3">
        <v>500</v>
      </c>
      <c r="F3">
        <v>25</v>
      </c>
      <c r="G3">
        <v>5</v>
      </c>
      <c r="H3" t="s">
        <v>143</v>
      </c>
      <c r="I3" t="s">
        <v>178</v>
      </c>
    </row>
    <row r="4" spans="1:10" x14ac:dyDescent="0.25">
      <c r="A4" t="s">
        <v>145</v>
      </c>
      <c r="B4">
        <v>1</v>
      </c>
      <c r="C4">
        <v>20</v>
      </c>
      <c r="D4">
        <v>500</v>
      </c>
      <c r="E4">
        <v>1000</v>
      </c>
      <c r="F4">
        <v>60</v>
      </c>
      <c r="G4">
        <v>10</v>
      </c>
      <c r="H4" t="s">
        <v>143</v>
      </c>
      <c r="I4" t="s">
        <v>179</v>
      </c>
    </row>
    <row r="5" spans="1:10" x14ac:dyDescent="0.25">
      <c r="A5" t="s">
        <v>146</v>
      </c>
      <c r="B5">
        <v>1</v>
      </c>
      <c r="C5">
        <v>40</v>
      </c>
      <c r="D5">
        <v>300</v>
      </c>
      <c r="E5">
        <v>800</v>
      </c>
      <c r="F5">
        <v>30</v>
      </c>
      <c r="G5">
        <v>20</v>
      </c>
      <c r="H5" t="s">
        <v>143</v>
      </c>
      <c r="I5" t="s">
        <v>180</v>
      </c>
    </row>
    <row r="6" spans="1:10" x14ac:dyDescent="0.25">
      <c r="A6" t="s">
        <v>147</v>
      </c>
      <c r="B6">
        <v>6</v>
      </c>
      <c r="C6">
        <v>40</v>
      </c>
      <c r="D6">
        <v>400</v>
      </c>
      <c r="E6">
        <v>2500</v>
      </c>
      <c r="F6">
        <v>50</v>
      </c>
      <c r="G6">
        <v>5</v>
      </c>
      <c r="H6" t="s">
        <v>143</v>
      </c>
      <c r="I6" t="s">
        <v>181</v>
      </c>
    </row>
    <row r="7" spans="1:10" x14ac:dyDescent="0.25">
      <c r="A7" t="s">
        <v>148</v>
      </c>
      <c r="B7">
        <v>2</v>
      </c>
      <c r="C7">
        <v>2000</v>
      </c>
      <c r="D7">
        <v>100</v>
      </c>
      <c r="E7">
        <v>15000</v>
      </c>
      <c r="F7">
        <v>50</v>
      </c>
      <c r="G7" t="s">
        <v>143</v>
      </c>
      <c r="H7" t="s">
        <v>143</v>
      </c>
      <c r="I7" t="s">
        <v>182</v>
      </c>
    </row>
    <row r="8" spans="1:10" x14ac:dyDescent="0.25">
      <c r="A8" t="s">
        <v>149</v>
      </c>
      <c r="B8">
        <v>4</v>
      </c>
      <c r="C8">
        <v>1800</v>
      </c>
      <c r="D8">
        <v>150</v>
      </c>
      <c r="E8">
        <v>20000</v>
      </c>
      <c r="F8">
        <v>50</v>
      </c>
      <c r="G8" t="s">
        <v>143</v>
      </c>
      <c r="H8" t="s">
        <v>143</v>
      </c>
      <c r="I8" t="s">
        <v>183</v>
      </c>
    </row>
    <row r="9" spans="1:10" x14ac:dyDescent="0.25">
      <c r="A9" t="s">
        <v>150</v>
      </c>
      <c r="B9">
        <v>6</v>
      </c>
      <c r="C9">
        <v>1500</v>
      </c>
      <c r="D9">
        <v>200</v>
      </c>
      <c r="E9">
        <v>30000</v>
      </c>
      <c r="F9">
        <v>50</v>
      </c>
      <c r="G9" t="s">
        <v>143</v>
      </c>
      <c r="H9" t="s">
        <v>143</v>
      </c>
      <c r="I9" t="s">
        <v>184</v>
      </c>
    </row>
    <row r="10" spans="1:10" x14ac:dyDescent="0.25">
      <c r="A10" t="s">
        <v>151</v>
      </c>
      <c r="B10">
        <v>8</v>
      </c>
      <c r="C10">
        <v>1200</v>
      </c>
      <c r="D10">
        <v>200</v>
      </c>
      <c r="E10">
        <v>40000</v>
      </c>
      <c r="F10">
        <v>50</v>
      </c>
      <c r="G10" t="s">
        <v>143</v>
      </c>
      <c r="H10" t="s">
        <v>143</v>
      </c>
      <c r="I10" t="s">
        <v>185</v>
      </c>
    </row>
    <row r="11" spans="1:10" x14ac:dyDescent="0.25">
      <c r="A11" t="s">
        <v>152</v>
      </c>
      <c r="B11">
        <v>11</v>
      </c>
      <c r="C11">
        <v>500</v>
      </c>
      <c r="D11">
        <v>400</v>
      </c>
      <c r="E11">
        <v>55000</v>
      </c>
      <c r="F11">
        <v>50</v>
      </c>
      <c r="G11" t="s">
        <v>143</v>
      </c>
      <c r="H11" t="s">
        <v>143</v>
      </c>
      <c r="I11" t="s">
        <v>186</v>
      </c>
    </row>
    <row r="12" spans="1:10" x14ac:dyDescent="0.25">
      <c r="A12" t="s">
        <v>172</v>
      </c>
      <c r="B12">
        <v>3</v>
      </c>
      <c r="C12">
        <v>50</v>
      </c>
      <c r="D12">
        <v>10</v>
      </c>
      <c r="E12">
        <v>3000</v>
      </c>
      <c r="F12">
        <v>50</v>
      </c>
      <c r="G12">
        <v>0</v>
      </c>
      <c r="H12" t="s">
        <v>143</v>
      </c>
      <c r="I12" t="s">
        <v>187</v>
      </c>
    </row>
    <row r="13" spans="1:10" x14ac:dyDescent="0.25">
      <c r="A13" t="s">
        <v>171</v>
      </c>
      <c r="B13">
        <v>3</v>
      </c>
      <c r="C13">
        <v>50</v>
      </c>
      <c r="D13">
        <v>10</v>
      </c>
      <c r="E13">
        <v>6000</v>
      </c>
      <c r="F13">
        <v>50</v>
      </c>
      <c r="G13">
        <v>0</v>
      </c>
      <c r="H13" t="s">
        <v>143</v>
      </c>
      <c r="I13" t="s">
        <v>188</v>
      </c>
    </row>
    <row r="14" spans="1:10" x14ac:dyDescent="0.25">
      <c r="A14" t="s">
        <v>170</v>
      </c>
      <c r="B14">
        <v>3</v>
      </c>
      <c r="C14">
        <v>50</v>
      </c>
      <c r="D14">
        <v>10</v>
      </c>
      <c r="E14">
        <v>9000</v>
      </c>
      <c r="F14">
        <v>50</v>
      </c>
      <c r="G14">
        <v>0</v>
      </c>
      <c r="H14" t="s">
        <v>143</v>
      </c>
      <c r="I14" t="s">
        <v>189</v>
      </c>
    </row>
    <row r="15" spans="1:10" x14ac:dyDescent="0.25">
      <c r="A15" t="s">
        <v>169</v>
      </c>
      <c r="B15">
        <v>3</v>
      </c>
      <c r="C15">
        <v>50</v>
      </c>
      <c r="D15">
        <v>10</v>
      </c>
      <c r="E15">
        <v>12000</v>
      </c>
      <c r="F15">
        <v>50</v>
      </c>
      <c r="G15">
        <v>0</v>
      </c>
      <c r="H15" t="s">
        <v>143</v>
      </c>
      <c r="I15" t="s">
        <v>190</v>
      </c>
    </row>
    <row r="16" spans="1:10" x14ac:dyDescent="0.25">
      <c r="A16" t="s">
        <v>168</v>
      </c>
      <c r="B16">
        <v>3</v>
      </c>
      <c r="C16">
        <v>50</v>
      </c>
      <c r="D16">
        <v>10</v>
      </c>
      <c r="E16">
        <v>20000</v>
      </c>
      <c r="F16">
        <v>50</v>
      </c>
      <c r="G16">
        <v>0</v>
      </c>
      <c r="H16" t="s">
        <v>143</v>
      </c>
      <c r="I16" t="s">
        <v>191</v>
      </c>
    </row>
    <row r="17" spans="1:9" x14ac:dyDescent="0.25">
      <c r="A17" t="s">
        <v>153</v>
      </c>
      <c r="B17">
        <v>0</v>
      </c>
      <c r="C17">
        <v>500</v>
      </c>
      <c r="D17">
        <v>100</v>
      </c>
      <c r="E17">
        <v>500</v>
      </c>
      <c r="F17">
        <v>50</v>
      </c>
      <c r="G17">
        <v>10</v>
      </c>
      <c r="H17">
        <v>10</v>
      </c>
      <c r="I17" t="s">
        <v>192</v>
      </c>
    </row>
    <row r="18" spans="1:9" x14ac:dyDescent="0.25">
      <c r="A18" t="s">
        <v>154</v>
      </c>
      <c r="B18">
        <v>3</v>
      </c>
      <c r="C18">
        <v>500</v>
      </c>
      <c r="D18">
        <v>100</v>
      </c>
      <c r="E18">
        <v>2500</v>
      </c>
      <c r="F18">
        <v>50</v>
      </c>
      <c r="G18">
        <v>15</v>
      </c>
      <c r="H18">
        <v>15</v>
      </c>
      <c r="I18" t="s">
        <v>193</v>
      </c>
    </row>
    <row r="19" spans="1:9" x14ac:dyDescent="0.25">
      <c r="A19" t="s">
        <v>162</v>
      </c>
      <c r="B19">
        <v>5</v>
      </c>
      <c r="C19">
        <v>500</v>
      </c>
      <c r="D19">
        <v>150</v>
      </c>
      <c r="E19">
        <v>5000</v>
      </c>
      <c r="F19">
        <v>50</v>
      </c>
      <c r="G19">
        <v>25</v>
      </c>
      <c r="H19">
        <v>25</v>
      </c>
      <c r="I19" t="s">
        <v>194</v>
      </c>
    </row>
    <row r="20" spans="1:9" x14ac:dyDescent="0.25">
      <c r="A20" t="s">
        <v>161</v>
      </c>
      <c r="B20">
        <v>7</v>
      </c>
      <c r="C20">
        <v>500</v>
      </c>
      <c r="D20">
        <v>200</v>
      </c>
      <c r="E20">
        <v>8000</v>
      </c>
      <c r="F20">
        <v>50</v>
      </c>
      <c r="G20">
        <v>35</v>
      </c>
      <c r="H20">
        <v>35</v>
      </c>
      <c r="I20" t="s">
        <v>195</v>
      </c>
    </row>
    <row r="21" spans="1:9" x14ac:dyDescent="0.25">
      <c r="A21" t="s">
        <v>160</v>
      </c>
      <c r="B21">
        <v>9</v>
      </c>
      <c r="C21">
        <v>500</v>
      </c>
      <c r="D21">
        <v>300</v>
      </c>
      <c r="E21">
        <v>12000</v>
      </c>
      <c r="F21">
        <v>50</v>
      </c>
      <c r="G21">
        <v>45</v>
      </c>
      <c r="H21">
        <v>45</v>
      </c>
      <c r="I21" t="s">
        <v>196</v>
      </c>
    </row>
    <row r="22" spans="1:9" x14ac:dyDescent="0.25">
      <c r="A22" t="s">
        <v>155</v>
      </c>
      <c r="B22">
        <v>7</v>
      </c>
      <c r="C22">
        <v>100</v>
      </c>
      <c r="D22">
        <v>0</v>
      </c>
      <c r="E22">
        <v>7000</v>
      </c>
      <c r="F22">
        <v>50</v>
      </c>
      <c r="G22">
        <v>20</v>
      </c>
      <c r="H22">
        <v>20</v>
      </c>
      <c r="I22" t="s">
        <v>197</v>
      </c>
    </row>
    <row r="23" spans="1:9" x14ac:dyDescent="0.25">
      <c r="A23" t="s">
        <v>163</v>
      </c>
      <c r="B23">
        <v>0</v>
      </c>
      <c r="C23">
        <v>300</v>
      </c>
      <c r="D23">
        <v>100</v>
      </c>
      <c r="E23">
        <v>1000</v>
      </c>
      <c r="F23">
        <v>50</v>
      </c>
      <c r="G23">
        <v>0</v>
      </c>
      <c r="H23" t="s">
        <v>143</v>
      </c>
      <c r="I23" t="s">
        <v>198</v>
      </c>
    </row>
    <row r="24" spans="1:9" x14ac:dyDescent="0.25">
      <c r="A24" t="s">
        <v>164</v>
      </c>
      <c r="B24">
        <v>0</v>
      </c>
      <c r="C24">
        <v>250</v>
      </c>
      <c r="D24">
        <v>200</v>
      </c>
      <c r="E24">
        <v>2000</v>
      </c>
      <c r="F24">
        <v>50</v>
      </c>
      <c r="G24">
        <v>0</v>
      </c>
      <c r="H24" t="s">
        <v>143</v>
      </c>
      <c r="I24" t="s">
        <v>202</v>
      </c>
    </row>
    <row r="25" spans="1:9" x14ac:dyDescent="0.25">
      <c r="A25" t="s">
        <v>165</v>
      </c>
      <c r="B25">
        <v>0</v>
      </c>
      <c r="C25">
        <v>200</v>
      </c>
      <c r="D25">
        <v>300</v>
      </c>
      <c r="E25">
        <v>4000</v>
      </c>
      <c r="F25">
        <v>50</v>
      </c>
      <c r="G25">
        <v>0</v>
      </c>
      <c r="H25" t="s">
        <v>143</v>
      </c>
      <c r="I25" t="s">
        <v>201</v>
      </c>
    </row>
    <row r="26" spans="1:9" x14ac:dyDescent="0.25">
      <c r="A26" t="s">
        <v>166</v>
      </c>
      <c r="B26">
        <v>1</v>
      </c>
      <c r="C26">
        <v>150</v>
      </c>
      <c r="D26">
        <v>500</v>
      </c>
      <c r="E26">
        <v>6000</v>
      </c>
      <c r="F26">
        <v>50</v>
      </c>
      <c r="G26">
        <v>0</v>
      </c>
      <c r="H26" t="s">
        <v>143</v>
      </c>
      <c r="I26" t="s">
        <v>200</v>
      </c>
    </row>
    <row r="27" spans="1:9" x14ac:dyDescent="0.25">
      <c r="A27" t="s">
        <v>167</v>
      </c>
      <c r="B27">
        <v>1</v>
      </c>
      <c r="C27">
        <v>100</v>
      </c>
      <c r="D27">
        <v>800</v>
      </c>
      <c r="E27">
        <v>9000</v>
      </c>
      <c r="F27">
        <v>50</v>
      </c>
      <c r="G27">
        <v>0</v>
      </c>
      <c r="H27" t="s">
        <v>143</v>
      </c>
      <c r="I27" t="s">
        <v>199</v>
      </c>
    </row>
    <row r="28" spans="1:9" x14ac:dyDescent="0.25">
      <c r="A28" t="s">
        <v>156</v>
      </c>
      <c r="B28">
        <v>4</v>
      </c>
      <c r="C28">
        <v>100</v>
      </c>
      <c r="D28">
        <v>0</v>
      </c>
      <c r="E28">
        <v>5000</v>
      </c>
      <c r="F28">
        <v>100</v>
      </c>
      <c r="G28">
        <v>0</v>
      </c>
      <c r="H28">
        <v>10</v>
      </c>
      <c r="I28" t="s">
        <v>203</v>
      </c>
    </row>
    <row r="29" spans="1:9" x14ac:dyDescent="0.25">
      <c r="A29" t="s">
        <v>157</v>
      </c>
      <c r="B29">
        <v>8</v>
      </c>
      <c r="C29">
        <v>200</v>
      </c>
      <c r="D29">
        <v>300</v>
      </c>
      <c r="E29">
        <v>8000</v>
      </c>
      <c r="F29">
        <v>100</v>
      </c>
      <c r="G29">
        <v>0</v>
      </c>
      <c r="H29">
        <v>20</v>
      </c>
      <c r="I29" t="s">
        <v>204</v>
      </c>
    </row>
    <row r="30" spans="1:9" x14ac:dyDescent="0.25">
      <c r="A30" t="s">
        <v>158</v>
      </c>
      <c r="B30">
        <v>10</v>
      </c>
      <c r="C30">
        <v>200</v>
      </c>
      <c r="D30">
        <v>200</v>
      </c>
      <c r="E30">
        <v>5000</v>
      </c>
      <c r="F30">
        <v>100</v>
      </c>
      <c r="G30">
        <v>0</v>
      </c>
      <c r="H30">
        <v>15</v>
      </c>
      <c r="I30" t="s">
        <v>205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BDE3-745E-42D4-AE4D-7232532B2077}">
  <dimension ref="A1:Q11"/>
  <sheetViews>
    <sheetView workbookViewId="0">
      <selection activeCell="J1" sqref="J1:Q1"/>
    </sheetView>
  </sheetViews>
  <sheetFormatPr defaultRowHeight="15" x14ac:dyDescent="0.25"/>
  <cols>
    <col min="1" max="1" width="10.85546875" bestFit="1" customWidth="1"/>
    <col min="2" max="17" width="7.28515625" bestFit="1" customWidth="1"/>
  </cols>
  <sheetData>
    <row r="1" spans="1:17" s="1" customFormat="1" ht="82.5" x14ac:dyDescent="0.25">
      <c r="A1" s="1" t="s">
        <v>0</v>
      </c>
      <c r="B1" s="1" t="s">
        <v>77</v>
      </c>
      <c r="C1" s="1" t="s">
        <v>103</v>
      </c>
      <c r="D1" s="1" t="s">
        <v>8</v>
      </c>
      <c r="E1" s="1" t="s">
        <v>1</v>
      </c>
      <c r="F1" s="1" t="s">
        <v>215</v>
      </c>
      <c r="G1" s="1" t="s">
        <v>214</v>
      </c>
      <c r="H1" s="1" t="s">
        <v>216</v>
      </c>
      <c r="I1" s="1" t="s">
        <v>217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58</v>
      </c>
      <c r="O1" s="1" t="s">
        <v>57</v>
      </c>
      <c r="P1" s="1" t="s">
        <v>59</v>
      </c>
      <c r="Q1" s="1" t="s">
        <v>60</v>
      </c>
    </row>
    <row r="2" spans="1:17" x14ac:dyDescent="0.25">
      <c r="A2" t="s">
        <v>2</v>
      </c>
      <c r="B2">
        <v>0</v>
      </c>
      <c r="C2">
        <v>400</v>
      </c>
      <c r="D2">
        <v>10</v>
      </c>
      <c r="E2">
        <v>100</v>
      </c>
      <c r="F2">
        <v>0</v>
      </c>
      <c r="G2">
        <v>0</v>
      </c>
      <c r="H2">
        <v>0</v>
      </c>
      <c r="I2">
        <v>0</v>
      </c>
      <c r="J2" t="s">
        <v>61</v>
      </c>
      <c r="K2" t="s">
        <v>61</v>
      </c>
      <c r="L2" t="s">
        <v>61</v>
      </c>
      <c r="M2" t="s">
        <v>61</v>
      </c>
      <c r="N2" t="s">
        <v>61</v>
      </c>
      <c r="O2" t="s">
        <v>61</v>
      </c>
      <c r="P2" t="s">
        <v>61</v>
      </c>
      <c r="Q2" t="s">
        <v>61</v>
      </c>
    </row>
    <row r="3" spans="1:17" x14ac:dyDescent="0.25">
      <c r="A3" t="s">
        <v>114</v>
      </c>
      <c r="B3">
        <v>1</v>
      </c>
      <c r="C3">
        <v>323</v>
      </c>
      <c r="D3">
        <v>20</v>
      </c>
      <c r="E3">
        <v>250</v>
      </c>
      <c r="F3">
        <v>3</v>
      </c>
      <c r="G3">
        <v>1</v>
      </c>
      <c r="H3">
        <v>0</v>
      </c>
      <c r="I3">
        <v>1</v>
      </c>
      <c r="J3" t="s">
        <v>61</v>
      </c>
      <c r="K3" t="s">
        <v>61</v>
      </c>
      <c r="L3" t="s">
        <v>61</v>
      </c>
      <c r="M3" t="s">
        <v>61</v>
      </c>
      <c r="N3" t="s">
        <v>61</v>
      </c>
      <c r="O3" t="s">
        <v>61</v>
      </c>
      <c r="P3" t="s">
        <v>61</v>
      </c>
      <c r="Q3" t="s">
        <v>61</v>
      </c>
    </row>
    <row r="4" spans="1:17" x14ac:dyDescent="0.25">
      <c r="A4" t="s">
        <v>206</v>
      </c>
      <c r="B4">
        <v>3</v>
      </c>
      <c r="C4">
        <v>256</v>
      </c>
      <c r="D4">
        <v>40</v>
      </c>
      <c r="E4">
        <v>650</v>
      </c>
      <c r="F4">
        <v>5</v>
      </c>
      <c r="G4">
        <v>1</v>
      </c>
      <c r="H4">
        <v>0</v>
      </c>
      <c r="I4">
        <v>2</v>
      </c>
      <c r="J4" t="s">
        <v>61</v>
      </c>
      <c r="K4" t="s">
        <v>61</v>
      </c>
      <c r="L4" t="s">
        <v>61</v>
      </c>
      <c r="M4" t="s">
        <v>61</v>
      </c>
      <c r="N4" t="s">
        <v>61</v>
      </c>
      <c r="O4" t="s">
        <v>61</v>
      </c>
      <c r="P4" t="s">
        <v>61</v>
      </c>
      <c r="Q4" t="s">
        <v>61</v>
      </c>
    </row>
    <row r="5" spans="1:17" x14ac:dyDescent="0.25">
      <c r="A5" t="s">
        <v>207</v>
      </c>
      <c r="B5">
        <v>3</v>
      </c>
      <c r="C5">
        <v>204</v>
      </c>
      <c r="D5">
        <v>60</v>
      </c>
      <c r="E5">
        <v>1200</v>
      </c>
      <c r="F5">
        <v>8</v>
      </c>
      <c r="G5">
        <v>2</v>
      </c>
      <c r="H5">
        <v>0</v>
      </c>
      <c r="I5">
        <v>2</v>
      </c>
      <c r="J5" t="s">
        <v>61</v>
      </c>
      <c r="K5" t="s">
        <v>61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  <c r="Q5" t="s">
        <v>61</v>
      </c>
    </row>
    <row r="6" spans="1:17" x14ac:dyDescent="0.25">
      <c r="A6" t="s">
        <v>208</v>
      </c>
      <c r="B6">
        <v>5</v>
      </c>
      <c r="C6">
        <v>164</v>
      </c>
      <c r="D6">
        <v>80</v>
      </c>
      <c r="E6">
        <v>1875</v>
      </c>
      <c r="F6">
        <v>10</v>
      </c>
      <c r="G6">
        <v>2</v>
      </c>
      <c r="H6">
        <v>0</v>
      </c>
      <c r="I6">
        <v>3</v>
      </c>
      <c r="J6" t="s">
        <v>61</v>
      </c>
      <c r="K6" t="s">
        <v>61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  <c r="Q6" t="s">
        <v>61</v>
      </c>
    </row>
    <row r="7" spans="1:17" x14ac:dyDescent="0.25">
      <c r="A7" t="s">
        <v>209</v>
      </c>
      <c r="B7">
        <v>5</v>
      </c>
      <c r="C7">
        <v>132</v>
      </c>
      <c r="D7">
        <v>0</v>
      </c>
      <c r="E7">
        <v>2490</v>
      </c>
      <c r="F7">
        <v>11</v>
      </c>
      <c r="G7">
        <v>3</v>
      </c>
      <c r="H7">
        <v>1</v>
      </c>
      <c r="I7">
        <v>3</v>
      </c>
      <c r="J7" t="s">
        <v>61</v>
      </c>
      <c r="K7" t="s">
        <v>61</v>
      </c>
      <c r="L7" t="s">
        <v>61</v>
      </c>
      <c r="M7" t="s">
        <v>61</v>
      </c>
      <c r="N7" t="s">
        <v>61</v>
      </c>
      <c r="O7" t="s">
        <v>61</v>
      </c>
      <c r="P7" t="s">
        <v>61</v>
      </c>
      <c r="Q7" t="s">
        <v>61</v>
      </c>
    </row>
    <row r="8" spans="1:17" x14ac:dyDescent="0.25">
      <c r="A8" t="s">
        <v>212</v>
      </c>
      <c r="B8">
        <v>6</v>
      </c>
      <c r="C8">
        <v>105</v>
      </c>
      <c r="D8">
        <v>130</v>
      </c>
      <c r="E8">
        <v>3105</v>
      </c>
      <c r="F8">
        <v>13</v>
      </c>
      <c r="G8">
        <v>4</v>
      </c>
      <c r="H8">
        <v>1</v>
      </c>
      <c r="I8">
        <v>4</v>
      </c>
      <c r="J8" t="s">
        <v>61</v>
      </c>
      <c r="K8" t="s">
        <v>61</v>
      </c>
      <c r="L8" t="s">
        <v>61</v>
      </c>
      <c r="M8" t="s">
        <v>61</v>
      </c>
      <c r="N8" t="s">
        <v>61</v>
      </c>
      <c r="O8" t="s">
        <v>61</v>
      </c>
      <c r="P8" t="s">
        <v>61</v>
      </c>
      <c r="Q8" t="s">
        <v>61</v>
      </c>
    </row>
    <row r="9" spans="1:17" x14ac:dyDescent="0.25">
      <c r="A9" t="s">
        <v>210</v>
      </c>
      <c r="B9">
        <v>6</v>
      </c>
      <c r="C9">
        <v>84</v>
      </c>
      <c r="D9">
        <v>180</v>
      </c>
      <c r="E9">
        <v>4230</v>
      </c>
      <c r="F9">
        <v>15</v>
      </c>
      <c r="G9">
        <v>4</v>
      </c>
      <c r="H9">
        <v>2</v>
      </c>
      <c r="I9">
        <v>5</v>
      </c>
      <c r="J9" t="s">
        <v>61</v>
      </c>
      <c r="K9" t="s">
        <v>61</v>
      </c>
      <c r="L9" t="s">
        <v>61</v>
      </c>
      <c r="M9" t="s">
        <v>61</v>
      </c>
      <c r="N9" t="s">
        <v>61</v>
      </c>
      <c r="O9" t="s">
        <v>61</v>
      </c>
      <c r="P9" t="s">
        <v>61</v>
      </c>
      <c r="Q9" t="s">
        <v>61</v>
      </c>
    </row>
    <row r="10" spans="1:17" x14ac:dyDescent="0.25">
      <c r="A10" t="s">
        <v>211</v>
      </c>
      <c r="B10">
        <v>7</v>
      </c>
      <c r="C10">
        <v>67</v>
      </c>
      <c r="D10">
        <v>200</v>
      </c>
      <c r="E10">
        <v>5175</v>
      </c>
      <c r="F10">
        <v>17</v>
      </c>
      <c r="G10">
        <v>5</v>
      </c>
      <c r="H10">
        <v>2</v>
      </c>
      <c r="I10">
        <v>5</v>
      </c>
      <c r="J10" t="s">
        <v>61</v>
      </c>
      <c r="K10" t="s">
        <v>61</v>
      </c>
      <c r="L10" t="s">
        <v>61</v>
      </c>
      <c r="M10" t="s">
        <v>61</v>
      </c>
      <c r="N10" t="s">
        <v>61</v>
      </c>
      <c r="O10" t="s">
        <v>61</v>
      </c>
      <c r="P10" t="s">
        <v>61</v>
      </c>
      <c r="Q10" t="s">
        <v>61</v>
      </c>
    </row>
    <row r="11" spans="1:17" x14ac:dyDescent="0.25">
      <c r="A11" t="s">
        <v>213</v>
      </c>
      <c r="B11">
        <v>8</v>
      </c>
      <c r="C11">
        <v>54</v>
      </c>
      <c r="D11">
        <v>250</v>
      </c>
      <c r="E11">
        <v>7275</v>
      </c>
      <c r="F11">
        <v>20</v>
      </c>
      <c r="G11">
        <v>6</v>
      </c>
      <c r="H11">
        <v>2</v>
      </c>
      <c r="I11">
        <v>5</v>
      </c>
      <c r="J11" t="s">
        <v>61</v>
      </c>
      <c r="K11" t="s">
        <v>61</v>
      </c>
      <c r="L11" t="s">
        <v>61</v>
      </c>
      <c r="M11" t="s">
        <v>61</v>
      </c>
      <c r="N11" t="s">
        <v>61</v>
      </c>
      <c r="O11" t="s">
        <v>61</v>
      </c>
      <c r="P11" t="s">
        <v>61</v>
      </c>
      <c r="Q11" t="s">
        <v>61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9AE1-A637-4AA9-AF6E-C38B4B910D0E}">
  <dimension ref="A1:M13"/>
  <sheetViews>
    <sheetView workbookViewId="0">
      <selection activeCell="F1" sqref="F1:M1"/>
    </sheetView>
  </sheetViews>
  <sheetFormatPr defaultRowHeight="15" x14ac:dyDescent="0.25"/>
  <cols>
    <col min="1" max="1" width="10.7109375" bestFit="1" customWidth="1"/>
    <col min="2" max="13" width="7.28515625" bestFit="1" customWidth="1"/>
  </cols>
  <sheetData>
    <row r="1" spans="1:13" s="1" customFormat="1" ht="75.75" x14ac:dyDescent="0.25">
      <c r="A1" s="1" t="s">
        <v>104</v>
      </c>
      <c r="B1" s="1" t="s">
        <v>77</v>
      </c>
      <c r="C1" s="1" t="s">
        <v>103</v>
      </c>
      <c r="D1" s="1" t="s">
        <v>8</v>
      </c>
      <c r="E1" s="1" t="s">
        <v>1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58</v>
      </c>
      <c r="K1" s="1" t="s">
        <v>57</v>
      </c>
      <c r="L1" s="1" t="s">
        <v>59</v>
      </c>
      <c r="M1" s="1" t="s">
        <v>60</v>
      </c>
    </row>
    <row r="2" spans="1:13" x14ac:dyDescent="0.25">
      <c r="A2" t="s">
        <v>2</v>
      </c>
      <c r="B2">
        <v>0</v>
      </c>
      <c r="C2">
        <v>400</v>
      </c>
      <c r="D2">
        <v>0</v>
      </c>
      <c r="E2">
        <v>50</v>
      </c>
      <c r="F2" t="s">
        <v>61</v>
      </c>
      <c r="G2" t="s">
        <v>61</v>
      </c>
    </row>
    <row r="3" spans="1:13" x14ac:dyDescent="0.25">
      <c r="A3" t="s">
        <v>46</v>
      </c>
      <c r="B3">
        <v>0</v>
      </c>
      <c r="C3">
        <v>265</v>
      </c>
      <c r="D3">
        <v>17</v>
      </c>
      <c r="E3">
        <v>398</v>
      </c>
      <c r="F3" t="s">
        <v>61</v>
      </c>
      <c r="G3" t="s">
        <v>61</v>
      </c>
    </row>
    <row r="4" spans="1:13" x14ac:dyDescent="0.25">
      <c r="A4" t="s">
        <v>2</v>
      </c>
      <c r="B4">
        <v>1</v>
      </c>
      <c r="C4">
        <v>222</v>
      </c>
      <c r="D4">
        <v>0</v>
      </c>
      <c r="E4">
        <v>100</v>
      </c>
      <c r="H4" t="s">
        <v>61</v>
      </c>
    </row>
    <row r="5" spans="1:13" x14ac:dyDescent="0.25">
      <c r="A5" t="s">
        <v>46</v>
      </c>
      <c r="B5">
        <v>1</v>
      </c>
      <c r="C5">
        <v>148</v>
      </c>
      <c r="D5">
        <v>79</v>
      </c>
      <c r="E5">
        <v>710</v>
      </c>
      <c r="H5" t="s">
        <v>61</v>
      </c>
    </row>
    <row r="6" spans="1:13" x14ac:dyDescent="0.25">
      <c r="A6" t="s">
        <v>2</v>
      </c>
      <c r="B6">
        <v>1</v>
      </c>
      <c r="C6">
        <v>154</v>
      </c>
      <c r="D6">
        <v>0</v>
      </c>
      <c r="E6">
        <v>150</v>
      </c>
      <c r="I6" t="s">
        <v>61</v>
      </c>
      <c r="J6" t="s">
        <v>61</v>
      </c>
    </row>
    <row r="7" spans="1:13" x14ac:dyDescent="0.25">
      <c r="A7" t="s">
        <v>46</v>
      </c>
      <c r="B7">
        <v>1</v>
      </c>
      <c r="C7">
        <v>102</v>
      </c>
      <c r="D7">
        <v>90</v>
      </c>
      <c r="E7">
        <v>1165</v>
      </c>
      <c r="I7" t="s">
        <v>61</v>
      </c>
      <c r="J7" t="s">
        <v>61</v>
      </c>
    </row>
    <row r="8" spans="1:13" x14ac:dyDescent="0.25">
      <c r="A8" t="s">
        <v>2</v>
      </c>
      <c r="B8">
        <v>1</v>
      </c>
      <c r="C8">
        <v>111</v>
      </c>
      <c r="D8">
        <v>0</v>
      </c>
      <c r="E8">
        <v>200</v>
      </c>
      <c r="K8" t="s">
        <v>61</v>
      </c>
    </row>
    <row r="9" spans="1:13" x14ac:dyDescent="0.25">
      <c r="A9" t="s">
        <v>46</v>
      </c>
      <c r="B9">
        <v>1</v>
      </c>
      <c r="C9">
        <v>74</v>
      </c>
      <c r="D9">
        <v>314</v>
      </c>
      <c r="E9">
        <v>1542</v>
      </c>
      <c r="K9" t="s">
        <v>61</v>
      </c>
    </row>
    <row r="10" spans="1:13" x14ac:dyDescent="0.25">
      <c r="A10" t="s">
        <v>2</v>
      </c>
      <c r="B10">
        <v>1</v>
      </c>
      <c r="C10">
        <v>83</v>
      </c>
      <c r="D10">
        <v>0</v>
      </c>
      <c r="E10">
        <v>250</v>
      </c>
      <c r="L10" t="s">
        <v>61</v>
      </c>
    </row>
    <row r="11" spans="1:13" x14ac:dyDescent="0.25">
      <c r="A11" t="s">
        <v>46</v>
      </c>
      <c r="B11">
        <v>1</v>
      </c>
      <c r="C11">
        <v>56</v>
      </c>
      <c r="D11">
        <v>333</v>
      </c>
      <c r="E11">
        <v>3707</v>
      </c>
      <c r="L11" t="s">
        <v>61</v>
      </c>
    </row>
    <row r="12" spans="1:13" x14ac:dyDescent="0.25">
      <c r="A12" t="s">
        <v>2</v>
      </c>
      <c r="B12">
        <v>1</v>
      </c>
      <c r="C12">
        <v>67</v>
      </c>
      <c r="D12">
        <v>0</v>
      </c>
      <c r="E12">
        <v>300</v>
      </c>
      <c r="M12" t="s">
        <v>61</v>
      </c>
    </row>
    <row r="13" spans="1:13" x14ac:dyDescent="0.25">
      <c r="A13" t="s">
        <v>46</v>
      </c>
      <c r="B13">
        <v>1</v>
      </c>
      <c r="C13">
        <v>44</v>
      </c>
      <c r="D13">
        <v>444</v>
      </c>
      <c r="E13">
        <v>1790</v>
      </c>
      <c r="M13" t="s">
        <v>61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F62F-4CB9-4FD6-9307-EF7B0DAC08F8}">
  <dimension ref="A1:N19"/>
  <sheetViews>
    <sheetView workbookViewId="0">
      <selection activeCell="Q10" sqref="Q10"/>
    </sheetView>
  </sheetViews>
  <sheetFormatPr defaultRowHeight="15" x14ac:dyDescent="0.25"/>
  <cols>
    <col min="1" max="1" width="15.42578125" bestFit="1" customWidth="1"/>
    <col min="2" max="2" width="2" bestFit="1" customWidth="1"/>
    <col min="3" max="3" width="4" bestFit="1" customWidth="1"/>
    <col min="4" max="4" width="4.5703125" bestFit="1" customWidth="1"/>
    <col min="5" max="5" width="5" bestFit="1" customWidth="1"/>
    <col min="6" max="14" width="4" bestFit="1" customWidth="1"/>
  </cols>
  <sheetData>
    <row r="1" spans="1:14" s="1" customFormat="1" ht="124.5" x14ac:dyDescent="0.25">
      <c r="A1" s="1" t="s">
        <v>0</v>
      </c>
      <c r="B1" s="1" t="s">
        <v>77</v>
      </c>
      <c r="C1" s="1" t="s">
        <v>103</v>
      </c>
      <c r="D1" s="1" t="s">
        <v>8</v>
      </c>
      <c r="E1" s="1" t="s">
        <v>218</v>
      </c>
      <c r="F1" s="1" t="s">
        <v>219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58</v>
      </c>
      <c r="L1" s="2" t="s">
        <v>57</v>
      </c>
      <c r="M1" s="2" t="s">
        <v>59</v>
      </c>
      <c r="N1" s="3" t="s">
        <v>60</v>
      </c>
    </row>
    <row r="2" spans="1:14" x14ac:dyDescent="0.25">
      <c r="A2" t="s">
        <v>220</v>
      </c>
      <c r="B2">
        <v>0</v>
      </c>
      <c r="C2">
        <v>200</v>
      </c>
      <c r="D2" t="s">
        <v>113</v>
      </c>
      <c r="E2">
        <v>100</v>
      </c>
      <c r="F2">
        <v>100</v>
      </c>
      <c r="G2" t="s">
        <v>61</v>
      </c>
      <c r="H2" t="s">
        <v>61</v>
      </c>
    </row>
    <row r="3" spans="1:14" x14ac:dyDescent="0.25">
      <c r="A3" t="s">
        <v>221</v>
      </c>
      <c r="B3">
        <v>1</v>
      </c>
      <c r="C3">
        <v>133</v>
      </c>
      <c r="D3" t="s">
        <v>113</v>
      </c>
      <c r="E3">
        <v>200</v>
      </c>
      <c r="F3">
        <v>130</v>
      </c>
      <c r="I3" t="s">
        <v>61</v>
      </c>
    </row>
    <row r="4" spans="1:14" x14ac:dyDescent="0.25">
      <c r="A4" t="s">
        <v>222</v>
      </c>
      <c r="B4">
        <v>0</v>
      </c>
      <c r="C4">
        <v>83</v>
      </c>
      <c r="D4" t="s">
        <v>113</v>
      </c>
      <c r="E4">
        <v>300</v>
      </c>
      <c r="F4">
        <v>200</v>
      </c>
      <c r="J4" t="s">
        <v>61</v>
      </c>
      <c r="K4" t="s">
        <v>61</v>
      </c>
    </row>
    <row r="5" spans="1:14" x14ac:dyDescent="0.25">
      <c r="A5" t="s">
        <v>223</v>
      </c>
      <c r="B5">
        <v>0</v>
      </c>
      <c r="C5">
        <v>56</v>
      </c>
      <c r="D5" t="s">
        <v>113</v>
      </c>
      <c r="E5">
        <v>400</v>
      </c>
      <c r="F5">
        <v>300</v>
      </c>
      <c r="L5" t="s">
        <v>61</v>
      </c>
    </row>
    <row r="6" spans="1:14" x14ac:dyDescent="0.25">
      <c r="A6" t="s">
        <v>224</v>
      </c>
      <c r="B6">
        <v>0</v>
      </c>
      <c r="C6">
        <v>45</v>
      </c>
      <c r="D6" t="s">
        <v>113</v>
      </c>
      <c r="E6">
        <v>500</v>
      </c>
      <c r="F6">
        <v>350</v>
      </c>
      <c r="M6" t="s">
        <v>61</v>
      </c>
    </row>
    <row r="7" spans="1:14" x14ac:dyDescent="0.25">
      <c r="A7" t="s">
        <v>225</v>
      </c>
      <c r="B7">
        <v>0</v>
      </c>
      <c r="C7">
        <v>33</v>
      </c>
      <c r="D7" t="s">
        <v>113</v>
      </c>
      <c r="E7">
        <v>600</v>
      </c>
      <c r="F7">
        <v>400</v>
      </c>
      <c r="N7" t="s">
        <v>61</v>
      </c>
    </row>
    <row r="8" spans="1:14" x14ac:dyDescent="0.25">
      <c r="A8" t="s">
        <v>226</v>
      </c>
      <c r="B8">
        <v>4</v>
      </c>
      <c r="C8">
        <v>200</v>
      </c>
      <c r="D8" t="s">
        <v>113</v>
      </c>
      <c r="E8">
        <v>600</v>
      </c>
      <c r="F8">
        <v>130</v>
      </c>
      <c r="G8" t="s">
        <v>61</v>
      </c>
      <c r="H8" t="s">
        <v>61</v>
      </c>
    </row>
    <row r="9" spans="1:14" x14ac:dyDescent="0.25">
      <c r="A9" t="s">
        <v>227</v>
      </c>
      <c r="B9">
        <v>4</v>
      </c>
      <c r="C9">
        <v>133</v>
      </c>
      <c r="D9" t="s">
        <v>113</v>
      </c>
      <c r="E9">
        <v>900</v>
      </c>
      <c r="F9">
        <v>196</v>
      </c>
      <c r="I9" t="s">
        <v>61</v>
      </c>
    </row>
    <row r="10" spans="1:14" x14ac:dyDescent="0.25">
      <c r="A10" t="s">
        <v>228</v>
      </c>
      <c r="B10">
        <v>4</v>
      </c>
      <c r="C10">
        <v>83</v>
      </c>
      <c r="D10" t="s">
        <v>113</v>
      </c>
      <c r="E10">
        <v>1200</v>
      </c>
      <c r="F10">
        <v>260</v>
      </c>
      <c r="J10" t="s">
        <v>61</v>
      </c>
      <c r="K10" t="s">
        <v>61</v>
      </c>
    </row>
    <row r="11" spans="1:14" x14ac:dyDescent="0.25">
      <c r="A11" t="s">
        <v>229</v>
      </c>
      <c r="B11">
        <v>4</v>
      </c>
      <c r="C11">
        <v>56</v>
      </c>
      <c r="D11" t="s">
        <v>113</v>
      </c>
      <c r="E11">
        <v>1500</v>
      </c>
      <c r="F11">
        <v>390</v>
      </c>
      <c r="L11" t="s">
        <v>61</v>
      </c>
    </row>
    <row r="12" spans="1:14" x14ac:dyDescent="0.25">
      <c r="A12" t="s">
        <v>230</v>
      </c>
      <c r="B12">
        <v>4</v>
      </c>
      <c r="C12">
        <v>45</v>
      </c>
      <c r="D12" t="s">
        <v>113</v>
      </c>
      <c r="E12">
        <v>1800</v>
      </c>
      <c r="F12">
        <v>455</v>
      </c>
      <c r="M12" t="s">
        <v>61</v>
      </c>
    </row>
    <row r="13" spans="1:14" x14ac:dyDescent="0.25">
      <c r="A13" t="s">
        <v>231</v>
      </c>
      <c r="B13">
        <v>4</v>
      </c>
      <c r="C13">
        <v>33</v>
      </c>
      <c r="D13" t="s">
        <v>113</v>
      </c>
      <c r="E13">
        <v>2100</v>
      </c>
      <c r="F13">
        <v>524</v>
      </c>
      <c r="N13" t="s">
        <v>61</v>
      </c>
    </row>
    <row r="14" spans="1:14" x14ac:dyDescent="0.25">
      <c r="A14" t="s">
        <v>232</v>
      </c>
      <c r="B14">
        <v>8</v>
      </c>
      <c r="C14">
        <v>200</v>
      </c>
      <c r="D14" t="s">
        <v>113</v>
      </c>
      <c r="E14">
        <v>2100</v>
      </c>
      <c r="F14">
        <v>150</v>
      </c>
      <c r="G14" t="s">
        <v>61</v>
      </c>
      <c r="H14" t="s">
        <v>61</v>
      </c>
    </row>
    <row r="15" spans="1:14" x14ac:dyDescent="0.25">
      <c r="A15" t="s">
        <v>233</v>
      </c>
      <c r="B15">
        <v>8</v>
      </c>
      <c r="C15">
        <v>133</v>
      </c>
      <c r="D15" t="s">
        <v>113</v>
      </c>
      <c r="E15">
        <v>3000</v>
      </c>
      <c r="F15">
        <v>225</v>
      </c>
      <c r="I15" t="s">
        <v>61</v>
      </c>
    </row>
    <row r="16" spans="1:14" x14ac:dyDescent="0.25">
      <c r="A16" t="s">
        <v>234</v>
      </c>
      <c r="B16">
        <v>8</v>
      </c>
      <c r="C16">
        <v>83</v>
      </c>
      <c r="D16" t="s">
        <v>113</v>
      </c>
      <c r="E16">
        <v>3900</v>
      </c>
      <c r="F16">
        <v>326</v>
      </c>
      <c r="J16" t="s">
        <v>61</v>
      </c>
      <c r="K16" t="s">
        <v>61</v>
      </c>
    </row>
    <row r="17" spans="1:14" x14ac:dyDescent="0.25">
      <c r="A17" t="s">
        <v>235</v>
      </c>
      <c r="B17">
        <v>8</v>
      </c>
      <c r="C17">
        <v>56</v>
      </c>
      <c r="D17" t="s">
        <v>113</v>
      </c>
      <c r="E17">
        <v>4800</v>
      </c>
      <c r="F17">
        <v>452</v>
      </c>
      <c r="L17" t="s">
        <v>61</v>
      </c>
    </row>
    <row r="18" spans="1:14" x14ac:dyDescent="0.25">
      <c r="A18" t="s">
        <v>236</v>
      </c>
      <c r="B18">
        <v>8</v>
      </c>
      <c r="C18">
        <v>45</v>
      </c>
      <c r="D18" t="s">
        <v>113</v>
      </c>
      <c r="E18">
        <v>5700</v>
      </c>
      <c r="F18">
        <v>526</v>
      </c>
      <c r="M18" t="s">
        <v>61</v>
      </c>
    </row>
    <row r="19" spans="1:14" x14ac:dyDescent="0.25">
      <c r="A19" t="s">
        <v>237</v>
      </c>
      <c r="B19">
        <v>8</v>
      </c>
      <c r="C19">
        <v>33</v>
      </c>
      <c r="D19" t="s">
        <v>113</v>
      </c>
      <c r="E19">
        <v>6600</v>
      </c>
      <c r="F19">
        <v>609</v>
      </c>
      <c r="N19" t="s">
        <v>61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0956-75D8-4E5A-A04F-9D203BE29FAC}">
  <dimension ref="A1:P11"/>
  <sheetViews>
    <sheetView workbookViewId="0">
      <selection activeCell="P1" sqref="I1:P1"/>
    </sheetView>
  </sheetViews>
  <sheetFormatPr defaultRowHeight="15" x14ac:dyDescent="0.25"/>
  <cols>
    <col min="1" max="1" width="13.42578125" bestFit="1" customWidth="1"/>
    <col min="2" max="2" width="7.5703125" bestFit="1" customWidth="1"/>
    <col min="3" max="3" width="20.42578125" bestFit="1" customWidth="1"/>
    <col min="4" max="4" width="14.42578125" bestFit="1" customWidth="1"/>
    <col min="5" max="5" width="7.140625" bestFit="1" customWidth="1"/>
    <col min="6" max="6" width="19.5703125" bestFit="1" customWidth="1"/>
    <col min="7" max="7" width="18.85546875" bestFit="1" customWidth="1"/>
    <col min="8" max="8" width="19.5703125" bestFit="1" customWidth="1"/>
    <col min="9" max="16" width="7.28515625" bestFit="1" customWidth="1"/>
  </cols>
  <sheetData>
    <row r="1" spans="1:16" ht="48.75" x14ac:dyDescent="0.25">
      <c r="A1" t="s">
        <v>104</v>
      </c>
      <c r="B1" t="s">
        <v>77</v>
      </c>
      <c r="C1" t="s">
        <v>103</v>
      </c>
      <c r="D1" t="s">
        <v>8</v>
      </c>
      <c r="E1" t="s">
        <v>1</v>
      </c>
      <c r="F1" t="s">
        <v>241</v>
      </c>
      <c r="G1" t="s">
        <v>242</v>
      </c>
      <c r="H1" t="s">
        <v>243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58</v>
      </c>
      <c r="N1" s="2" t="s">
        <v>57</v>
      </c>
      <c r="O1" s="2" t="s">
        <v>59</v>
      </c>
      <c r="P1" s="3" t="s">
        <v>60</v>
      </c>
    </row>
    <row r="2" spans="1:16" x14ac:dyDescent="0.25">
      <c r="A2" t="s">
        <v>249</v>
      </c>
      <c r="B2">
        <v>0</v>
      </c>
      <c r="C2">
        <v>1000</v>
      </c>
      <c r="D2">
        <v>50</v>
      </c>
      <c r="E2">
        <v>100</v>
      </c>
      <c r="F2">
        <v>0</v>
      </c>
      <c r="G2">
        <v>4</v>
      </c>
      <c r="H2" t="s">
        <v>247</v>
      </c>
      <c r="I2" t="s">
        <v>61</v>
      </c>
      <c r="J2" t="s">
        <v>61</v>
      </c>
      <c r="K2" t="s">
        <v>61</v>
      </c>
      <c r="L2" t="s">
        <v>61</v>
      </c>
      <c r="M2" t="s">
        <v>61</v>
      </c>
      <c r="N2" t="s">
        <v>61</v>
      </c>
      <c r="O2" t="s">
        <v>61</v>
      </c>
      <c r="P2" t="s">
        <v>61</v>
      </c>
    </row>
    <row r="3" spans="1:16" x14ac:dyDescent="0.25">
      <c r="A3" t="s">
        <v>250</v>
      </c>
      <c r="B3">
        <v>0</v>
      </c>
      <c r="C3">
        <v>833</v>
      </c>
      <c r="D3">
        <v>100</v>
      </c>
      <c r="E3">
        <v>500</v>
      </c>
      <c r="F3">
        <v>2</v>
      </c>
      <c r="G3">
        <v>5</v>
      </c>
      <c r="H3" t="s">
        <v>246</v>
      </c>
      <c r="I3" t="s">
        <v>61</v>
      </c>
      <c r="J3" t="s">
        <v>61</v>
      </c>
      <c r="K3" t="s">
        <v>61</v>
      </c>
      <c r="L3" t="s">
        <v>61</v>
      </c>
      <c r="M3" t="s">
        <v>61</v>
      </c>
      <c r="N3" t="s">
        <v>61</v>
      </c>
      <c r="O3" t="s">
        <v>61</v>
      </c>
      <c r="P3" t="s">
        <v>61</v>
      </c>
    </row>
    <row r="4" spans="1:16" x14ac:dyDescent="0.25">
      <c r="A4" t="s">
        <v>251</v>
      </c>
      <c r="B4">
        <v>1</v>
      </c>
      <c r="C4">
        <v>714</v>
      </c>
      <c r="D4">
        <v>150</v>
      </c>
      <c r="E4">
        <v>1000</v>
      </c>
      <c r="F4">
        <v>4</v>
      </c>
      <c r="G4">
        <v>6</v>
      </c>
      <c r="H4" t="s">
        <v>246</v>
      </c>
      <c r="I4" t="s">
        <v>61</v>
      </c>
      <c r="J4" t="s">
        <v>61</v>
      </c>
      <c r="K4" t="s">
        <v>61</v>
      </c>
      <c r="L4" t="s">
        <v>61</v>
      </c>
      <c r="M4" t="s">
        <v>61</v>
      </c>
      <c r="N4" t="s">
        <v>61</v>
      </c>
      <c r="O4" t="s">
        <v>61</v>
      </c>
      <c r="P4" t="s">
        <v>61</v>
      </c>
    </row>
    <row r="5" spans="1:16" x14ac:dyDescent="0.25">
      <c r="A5" t="s">
        <v>240</v>
      </c>
      <c r="B5">
        <v>4</v>
      </c>
      <c r="C5">
        <v>588</v>
      </c>
      <c r="D5">
        <v>250</v>
      </c>
      <c r="E5">
        <v>1625</v>
      </c>
      <c r="F5">
        <v>7</v>
      </c>
      <c r="G5">
        <v>8</v>
      </c>
      <c r="H5" t="s">
        <v>246</v>
      </c>
      <c r="I5" t="s">
        <v>61</v>
      </c>
      <c r="J5" t="s">
        <v>61</v>
      </c>
      <c r="K5" t="s">
        <v>61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</row>
    <row r="6" spans="1:16" x14ac:dyDescent="0.25">
      <c r="A6" t="s">
        <v>252</v>
      </c>
      <c r="B6">
        <v>7</v>
      </c>
      <c r="C6">
        <v>476</v>
      </c>
      <c r="D6">
        <v>500</v>
      </c>
      <c r="E6">
        <v>3050</v>
      </c>
      <c r="F6">
        <v>14</v>
      </c>
      <c r="G6">
        <v>10</v>
      </c>
      <c r="H6" t="s">
        <v>248</v>
      </c>
      <c r="I6" t="s">
        <v>61</v>
      </c>
      <c r="J6" t="s">
        <v>61</v>
      </c>
      <c r="K6" t="s">
        <v>61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</row>
    <row r="7" spans="1:16" x14ac:dyDescent="0.25">
      <c r="A7" t="s">
        <v>253</v>
      </c>
      <c r="B7">
        <v>0</v>
      </c>
      <c r="C7">
        <v>833</v>
      </c>
      <c r="D7">
        <v>25</v>
      </c>
      <c r="E7">
        <v>500</v>
      </c>
      <c r="F7">
        <v>0</v>
      </c>
      <c r="G7">
        <v>8</v>
      </c>
      <c r="H7" t="s">
        <v>245</v>
      </c>
      <c r="I7" t="s">
        <v>61</v>
      </c>
      <c r="K7" t="s">
        <v>61</v>
      </c>
    </row>
    <row r="8" spans="1:16" x14ac:dyDescent="0.25">
      <c r="A8" t="s">
        <v>254</v>
      </c>
      <c r="B8">
        <v>0</v>
      </c>
      <c r="C8">
        <v>714</v>
      </c>
      <c r="D8">
        <v>50</v>
      </c>
      <c r="E8">
        <v>800</v>
      </c>
      <c r="F8">
        <v>5</v>
      </c>
      <c r="G8">
        <v>10</v>
      </c>
      <c r="H8" t="s">
        <v>245</v>
      </c>
      <c r="I8" t="s">
        <v>61</v>
      </c>
      <c r="K8" t="s">
        <v>61</v>
      </c>
    </row>
    <row r="9" spans="1:16" x14ac:dyDescent="0.25">
      <c r="A9" t="s">
        <v>255</v>
      </c>
      <c r="B9">
        <v>1</v>
      </c>
      <c r="C9">
        <v>588</v>
      </c>
      <c r="D9">
        <v>100</v>
      </c>
      <c r="E9">
        <v>1375</v>
      </c>
      <c r="F9">
        <v>6</v>
      </c>
      <c r="G9">
        <v>11</v>
      </c>
      <c r="H9" t="s">
        <v>244</v>
      </c>
      <c r="I9" t="s">
        <v>61</v>
      </c>
      <c r="K9" t="s">
        <v>61</v>
      </c>
    </row>
    <row r="10" spans="1:16" x14ac:dyDescent="0.25">
      <c r="A10" t="s">
        <v>239</v>
      </c>
      <c r="B10">
        <v>5</v>
      </c>
      <c r="C10">
        <v>476</v>
      </c>
      <c r="D10">
        <v>300</v>
      </c>
      <c r="E10">
        <v>2080</v>
      </c>
      <c r="F10">
        <v>8</v>
      </c>
      <c r="G10">
        <v>13</v>
      </c>
      <c r="H10" t="s">
        <v>244</v>
      </c>
      <c r="I10" t="s">
        <v>61</v>
      </c>
      <c r="K10" t="s">
        <v>61</v>
      </c>
    </row>
    <row r="11" spans="1:16" x14ac:dyDescent="0.25">
      <c r="A11" t="s">
        <v>238</v>
      </c>
      <c r="B11">
        <v>8</v>
      </c>
      <c r="C11">
        <v>400</v>
      </c>
      <c r="D11">
        <v>600</v>
      </c>
      <c r="E11">
        <v>5073</v>
      </c>
      <c r="F11">
        <v>10</v>
      </c>
      <c r="G11">
        <v>15</v>
      </c>
      <c r="H11" t="s">
        <v>244</v>
      </c>
      <c r="I11" t="s">
        <v>61</v>
      </c>
      <c r="K11" t="s">
        <v>61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2E5C-67CF-477B-91DC-8304C7BFE8F5}">
  <dimension ref="A1:P11"/>
  <sheetViews>
    <sheetView workbookViewId="0">
      <selection activeCell="C1" sqref="C1"/>
    </sheetView>
  </sheetViews>
  <sheetFormatPr defaultRowHeight="15" x14ac:dyDescent="0.25"/>
  <cols>
    <col min="1" max="1" width="11" bestFit="1" customWidth="1"/>
    <col min="2" max="16" width="7.28515625" bestFit="1" customWidth="1"/>
  </cols>
  <sheetData>
    <row r="1" spans="1:16" s="1" customFormat="1" ht="86.25" x14ac:dyDescent="0.25">
      <c r="A1" s="1" t="s">
        <v>104</v>
      </c>
      <c r="B1" s="1" t="s">
        <v>77</v>
      </c>
      <c r="C1" s="1" t="s">
        <v>103</v>
      </c>
      <c r="D1" s="1" t="s">
        <v>8</v>
      </c>
      <c r="E1" s="1" t="s">
        <v>1</v>
      </c>
      <c r="F1" s="1" t="s">
        <v>266</v>
      </c>
      <c r="G1" s="1" t="s">
        <v>267</v>
      </c>
      <c r="H1" s="1" t="s">
        <v>268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58</v>
      </c>
      <c r="N1" s="2" t="s">
        <v>57</v>
      </c>
      <c r="O1" s="2" t="s">
        <v>59</v>
      </c>
      <c r="P1" s="3" t="s">
        <v>60</v>
      </c>
    </row>
    <row r="2" spans="1:16" x14ac:dyDescent="0.25">
      <c r="A2" t="s">
        <v>256</v>
      </c>
      <c r="B2">
        <v>0</v>
      </c>
      <c r="C2">
        <v>1000</v>
      </c>
      <c r="D2">
        <v>100</v>
      </c>
      <c r="E2">
        <v>100</v>
      </c>
      <c r="F2">
        <v>300</v>
      </c>
      <c r="G2">
        <v>15</v>
      </c>
      <c r="H2">
        <v>1</v>
      </c>
      <c r="I2" t="s">
        <v>61</v>
      </c>
      <c r="J2" t="s">
        <v>61</v>
      </c>
      <c r="K2" t="s">
        <v>61</v>
      </c>
      <c r="L2" t="s">
        <v>61</v>
      </c>
    </row>
    <row r="3" spans="1:16" x14ac:dyDescent="0.25">
      <c r="A3" t="s">
        <v>257</v>
      </c>
      <c r="B3">
        <v>0</v>
      </c>
      <c r="C3">
        <v>833</v>
      </c>
      <c r="D3">
        <v>150</v>
      </c>
      <c r="E3">
        <v>1080</v>
      </c>
      <c r="F3">
        <v>600</v>
      </c>
      <c r="G3">
        <v>30</v>
      </c>
      <c r="H3">
        <v>3</v>
      </c>
      <c r="I3" t="s">
        <v>61</v>
      </c>
      <c r="J3" t="s">
        <v>61</v>
      </c>
      <c r="K3" t="s">
        <v>61</v>
      </c>
      <c r="L3" t="s">
        <v>61</v>
      </c>
      <c r="M3" t="s">
        <v>61</v>
      </c>
    </row>
    <row r="4" spans="1:16" x14ac:dyDescent="0.25">
      <c r="A4" t="s">
        <v>258</v>
      </c>
      <c r="B4">
        <v>1</v>
      </c>
      <c r="C4">
        <v>769</v>
      </c>
      <c r="D4">
        <v>200</v>
      </c>
      <c r="E4">
        <v>2245</v>
      </c>
      <c r="F4">
        <v>900</v>
      </c>
      <c r="G4">
        <v>45</v>
      </c>
      <c r="H4">
        <v>4</v>
      </c>
      <c r="I4" t="s">
        <v>61</v>
      </c>
      <c r="J4" t="s">
        <v>61</v>
      </c>
      <c r="K4" t="s">
        <v>61</v>
      </c>
      <c r="L4" t="s">
        <v>61</v>
      </c>
      <c r="M4" t="s">
        <v>61</v>
      </c>
      <c r="N4" t="s">
        <v>61</v>
      </c>
      <c r="O4" t="s">
        <v>61</v>
      </c>
    </row>
    <row r="5" spans="1:16" x14ac:dyDescent="0.25">
      <c r="A5" t="s">
        <v>259</v>
      </c>
      <c r="B5">
        <v>1</v>
      </c>
      <c r="C5">
        <v>667</v>
      </c>
      <c r="D5">
        <v>269</v>
      </c>
      <c r="E5">
        <v>3401</v>
      </c>
      <c r="F5">
        <v>1200</v>
      </c>
      <c r="G5">
        <v>60</v>
      </c>
      <c r="H5">
        <v>6</v>
      </c>
      <c r="J5" t="s">
        <v>61</v>
      </c>
      <c r="K5" t="s">
        <v>61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</row>
    <row r="6" spans="1:16" x14ac:dyDescent="0.25">
      <c r="A6" t="s">
        <v>260</v>
      </c>
      <c r="B6">
        <v>2</v>
      </c>
      <c r="C6">
        <v>588</v>
      </c>
      <c r="D6">
        <v>2700</v>
      </c>
      <c r="E6">
        <v>5049</v>
      </c>
      <c r="F6">
        <v>1500</v>
      </c>
      <c r="G6">
        <v>75</v>
      </c>
      <c r="H6">
        <v>8</v>
      </c>
      <c r="K6" t="s">
        <v>61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</row>
    <row r="7" spans="1:16" x14ac:dyDescent="0.25">
      <c r="A7" t="s">
        <v>261</v>
      </c>
      <c r="B7">
        <v>1</v>
      </c>
      <c r="C7">
        <v>500</v>
      </c>
      <c r="D7">
        <v>4500</v>
      </c>
      <c r="E7">
        <v>8102</v>
      </c>
      <c r="F7">
        <v>1950</v>
      </c>
      <c r="G7">
        <v>95</v>
      </c>
      <c r="H7">
        <v>10</v>
      </c>
      <c r="M7" t="s">
        <v>61</v>
      </c>
      <c r="N7" t="s">
        <v>61</v>
      </c>
      <c r="O7" t="s">
        <v>61</v>
      </c>
      <c r="P7" t="s">
        <v>61</v>
      </c>
    </row>
    <row r="8" spans="1:16" x14ac:dyDescent="0.25">
      <c r="A8" t="s">
        <v>262</v>
      </c>
      <c r="B8">
        <v>1</v>
      </c>
      <c r="C8">
        <v>435</v>
      </c>
      <c r="D8">
        <v>8000</v>
      </c>
      <c r="E8">
        <v>12005</v>
      </c>
      <c r="F8">
        <v>2400</v>
      </c>
      <c r="G8">
        <v>110</v>
      </c>
      <c r="H8">
        <v>12</v>
      </c>
      <c r="N8" t="s">
        <v>61</v>
      </c>
      <c r="O8" t="s">
        <v>61</v>
      </c>
      <c r="P8" t="s">
        <v>61</v>
      </c>
    </row>
    <row r="9" spans="1:16" x14ac:dyDescent="0.25">
      <c r="A9" t="s">
        <v>263</v>
      </c>
      <c r="B9">
        <v>1</v>
      </c>
      <c r="C9">
        <v>370</v>
      </c>
      <c r="D9">
        <v>13333</v>
      </c>
      <c r="E9">
        <v>14901</v>
      </c>
      <c r="F9">
        <v>2850</v>
      </c>
      <c r="G9">
        <v>130</v>
      </c>
      <c r="H9">
        <v>14</v>
      </c>
      <c r="O9" t="s">
        <v>61</v>
      </c>
      <c r="P9" t="s">
        <v>61</v>
      </c>
    </row>
    <row r="10" spans="1:16" x14ac:dyDescent="0.25">
      <c r="A10" t="s">
        <v>264</v>
      </c>
      <c r="B10">
        <v>2</v>
      </c>
      <c r="C10">
        <v>323</v>
      </c>
      <c r="D10">
        <v>16000</v>
      </c>
      <c r="E10">
        <v>25486</v>
      </c>
      <c r="F10">
        <v>3300</v>
      </c>
      <c r="G10">
        <v>170</v>
      </c>
      <c r="H10">
        <v>18</v>
      </c>
      <c r="P10" t="s">
        <v>61</v>
      </c>
    </row>
    <row r="11" spans="1:16" x14ac:dyDescent="0.25">
      <c r="A11" t="s">
        <v>265</v>
      </c>
      <c r="B11">
        <v>3</v>
      </c>
      <c r="C11">
        <v>286</v>
      </c>
      <c r="D11">
        <v>17000</v>
      </c>
      <c r="E11">
        <v>33034</v>
      </c>
      <c r="F11">
        <v>3900</v>
      </c>
      <c r="G11">
        <v>200</v>
      </c>
      <c r="H11">
        <v>20</v>
      </c>
      <c r="P11" t="s">
        <v>61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ADC1-B1DF-457A-AE83-6E2BA90FF1B6}">
  <dimension ref="A1:P12"/>
  <sheetViews>
    <sheetView tabSelected="1" workbookViewId="0">
      <selection activeCell="F6" sqref="F6"/>
    </sheetView>
  </sheetViews>
  <sheetFormatPr defaultRowHeight="15" x14ac:dyDescent="0.25"/>
  <cols>
    <col min="1" max="1" width="19.85546875" bestFit="1" customWidth="1"/>
    <col min="2" max="16" width="7.28515625" bestFit="1" customWidth="1"/>
  </cols>
  <sheetData>
    <row r="1" spans="1:16" s="1" customFormat="1" ht="99" x14ac:dyDescent="0.25">
      <c r="A1" s="1" t="s">
        <v>0</v>
      </c>
      <c r="B1" s="1" t="s">
        <v>77</v>
      </c>
      <c r="C1" s="1" t="s">
        <v>103</v>
      </c>
      <c r="D1" s="1" t="s">
        <v>8</v>
      </c>
      <c r="E1" s="1" t="s">
        <v>1</v>
      </c>
      <c r="F1" s="1" t="s">
        <v>280</v>
      </c>
      <c r="G1" s="1" t="s">
        <v>281</v>
      </c>
      <c r="H1" s="1" t="s">
        <v>282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58</v>
      </c>
      <c r="N1" s="1" t="s">
        <v>57</v>
      </c>
      <c r="O1" s="1" t="s">
        <v>59</v>
      </c>
      <c r="P1" s="1" t="s">
        <v>60</v>
      </c>
    </row>
    <row r="2" spans="1:16" x14ac:dyDescent="0.25">
      <c r="A2" t="s">
        <v>269</v>
      </c>
      <c r="B2">
        <v>1</v>
      </c>
      <c r="C2">
        <v>200</v>
      </c>
      <c r="D2">
        <v>50</v>
      </c>
      <c r="E2">
        <v>50</v>
      </c>
      <c r="F2">
        <v>50</v>
      </c>
      <c r="G2">
        <v>2</v>
      </c>
      <c r="H2">
        <v>0</v>
      </c>
      <c r="I2" t="s">
        <v>61</v>
      </c>
      <c r="J2" t="s">
        <v>61</v>
      </c>
      <c r="K2" t="s">
        <v>61</v>
      </c>
      <c r="L2" t="s">
        <v>61</v>
      </c>
      <c r="M2" t="s">
        <v>61</v>
      </c>
      <c r="N2" t="s">
        <v>61</v>
      </c>
      <c r="O2" t="s">
        <v>61</v>
      </c>
      <c r="P2" t="s">
        <v>61</v>
      </c>
    </row>
    <row r="3" spans="1:16" x14ac:dyDescent="0.25">
      <c r="A3" t="s">
        <v>270</v>
      </c>
      <c r="B3">
        <v>0</v>
      </c>
      <c r="C3">
        <v>1000</v>
      </c>
      <c r="D3">
        <v>50</v>
      </c>
      <c r="E3">
        <v>100</v>
      </c>
      <c r="F3">
        <v>90</v>
      </c>
      <c r="G3">
        <v>5</v>
      </c>
      <c r="H3">
        <v>1</v>
      </c>
      <c r="I3" t="s">
        <v>61</v>
      </c>
      <c r="J3" t="s">
        <v>61</v>
      </c>
      <c r="K3" t="s">
        <v>61</v>
      </c>
      <c r="L3" t="s">
        <v>61</v>
      </c>
      <c r="M3" t="s">
        <v>61</v>
      </c>
      <c r="N3" t="s">
        <v>61</v>
      </c>
      <c r="O3" t="s">
        <v>61</v>
      </c>
      <c r="P3" t="s">
        <v>61</v>
      </c>
    </row>
    <row r="4" spans="1:16" x14ac:dyDescent="0.25">
      <c r="A4" t="s">
        <v>271</v>
      </c>
      <c r="B4">
        <v>1</v>
      </c>
      <c r="C4">
        <v>800</v>
      </c>
      <c r="D4">
        <v>55</v>
      </c>
      <c r="E4">
        <v>250</v>
      </c>
      <c r="F4">
        <v>90</v>
      </c>
      <c r="G4">
        <v>9</v>
      </c>
      <c r="H4">
        <v>2</v>
      </c>
      <c r="I4" t="s">
        <v>61</v>
      </c>
      <c r="J4" t="s">
        <v>61</v>
      </c>
      <c r="K4" t="s">
        <v>61</v>
      </c>
      <c r="L4" t="s">
        <v>61</v>
      </c>
      <c r="M4" t="s">
        <v>61</v>
      </c>
      <c r="N4" t="s">
        <v>61</v>
      </c>
      <c r="O4" t="s">
        <v>61</v>
      </c>
      <c r="P4" t="s">
        <v>61</v>
      </c>
    </row>
    <row r="5" spans="1:16" x14ac:dyDescent="0.25">
      <c r="A5" t="s">
        <v>272</v>
      </c>
      <c r="B5">
        <v>3</v>
      </c>
      <c r="C5">
        <v>750</v>
      </c>
      <c r="D5">
        <v>60</v>
      </c>
      <c r="E5">
        <v>650</v>
      </c>
      <c r="F5">
        <v>90</v>
      </c>
      <c r="G5">
        <v>14</v>
      </c>
      <c r="H5">
        <v>3</v>
      </c>
      <c r="I5" t="s">
        <v>61</v>
      </c>
      <c r="J5" t="s">
        <v>61</v>
      </c>
      <c r="K5" t="s">
        <v>61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</row>
    <row r="6" spans="1:16" x14ac:dyDescent="0.25">
      <c r="A6" t="s">
        <v>273</v>
      </c>
      <c r="B6">
        <v>4</v>
      </c>
      <c r="C6">
        <v>650</v>
      </c>
      <c r="D6">
        <v>100</v>
      </c>
      <c r="E6">
        <v>1200</v>
      </c>
      <c r="F6">
        <v>90</v>
      </c>
      <c r="G6">
        <v>18</v>
      </c>
      <c r="H6">
        <v>4</v>
      </c>
      <c r="I6" t="s">
        <v>61</v>
      </c>
      <c r="J6" t="s">
        <v>61</v>
      </c>
      <c r="K6" t="s">
        <v>61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</row>
    <row r="7" spans="1:16" x14ac:dyDescent="0.25">
      <c r="A7" t="s">
        <v>274</v>
      </c>
      <c r="B7">
        <v>6</v>
      </c>
      <c r="C7">
        <v>580</v>
      </c>
      <c r="D7">
        <v>100</v>
      </c>
      <c r="E7">
        <v>1875</v>
      </c>
      <c r="F7">
        <v>90</v>
      </c>
      <c r="G7">
        <v>23</v>
      </c>
      <c r="H7">
        <v>8</v>
      </c>
      <c r="I7" t="s">
        <v>61</v>
      </c>
      <c r="J7" t="s">
        <v>61</v>
      </c>
      <c r="K7" t="s">
        <v>61</v>
      </c>
      <c r="L7" t="s">
        <v>61</v>
      </c>
      <c r="M7" t="s">
        <v>61</v>
      </c>
      <c r="N7" t="s">
        <v>61</v>
      </c>
      <c r="O7" t="s">
        <v>61</v>
      </c>
      <c r="P7" t="s">
        <v>61</v>
      </c>
    </row>
    <row r="8" spans="1:16" x14ac:dyDescent="0.25">
      <c r="A8" t="s">
        <v>275</v>
      </c>
      <c r="B8">
        <v>7</v>
      </c>
      <c r="C8">
        <v>490</v>
      </c>
      <c r="D8">
        <v>150</v>
      </c>
      <c r="E8">
        <v>2490</v>
      </c>
      <c r="F8">
        <v>90</v>
      </c>
      <c r="G8">
        <v>27</v>
      </c>
      <c r="H8">
        <v>10</v>
      </c>
      <c r="I8" t="s">
        <v>61</v>
      </c>
      <c r="J8" t="s">
        <v>61</v>
      </c>
      <c r="K8" t="s">
        <v>61</v>
      </c>
      <c r="L8" t="s">
        <v>61</v>
      </c>
      <c r="M8" t="s">
        <v>61</v>
      </c>
      <c r="N8" t="s">
        <v>61</v>
      </c>
      <c r="O8" t="s">
        <v>61</v>
      </c>
      <c r="P8" t="s">
        <v>61</v>
      </c>
    </row>
    <row r="9" spans="1:16" x14ac:dyDescent="0.25">
      <c r="A9" t="s">
        <v>276</v>
      </c>
      <c r="B9">
        <v>9</v>
      </c>
      <c r="C9">
        <v>420</v>
      </c>
      <c r="D9" s="4">
        <v>0</v>
      </c>
      <c r="E9">
        <v>3105</v>
      </c>
      <c r="F9">
        <v>100</v>
      </c>
      <c r="G9">
        <v>32</v>
      </c>
      <c r="H9">
        <v>10</v>
      </c>
      <c r="I9" t="s">
        <v>61</v>
      </c>
      <c r="J9" t="s">
        <v>61</v>
      </c>
      <c r="K9" t="s">
        <v>61</v>
      </c>
      <c r="L9" t="s">
        <v>61</v>
      </c>
      <c r="M9" t="s">
        <v>61</v>
      </c>
      <c r="N9" t="s">
        <v>61</v>
      </c>
      <c r="O9" t="s">
        <v>61</v>
      </c>
      <c r="P9" t="s">
        <v>61</v>
      </c>
    </row>
    <row r="10" spans="1:16" x14ac:dyDescent="0.25">
      <c r="A10" t="s">
        <v>277</v>
      </c>
      <c r="B10">
        <v>10</v>
      </c>
      <c r="C10">
        <v>370</v>
      </c>
      <c r="D10">
        <v>400</v>
      </c>
      <c r="E10">
        <v>4230</v>
      </c>
      <c r="F10">
        <v>90</v>
      </c>
      <c r="G10">
        <v>36</v>
      </c>
      <c r="H10">
        <v>10</v>
      </c>
      <c r="I10" t="s">
        <v>61</v>
      </c>
      <c r="J10" t="s">
        <v>61</v>
      </c>
      <c r="K10" t="s">
        <v>61</v>
      </c>
      <c r="L10" t="s">
        <v>61</v>
      </c>
      <c r="M10" t="s">
        <v>61</v>
      </c>
      <c r="N10" t="s">
        <v>61</v>
      </c>
      <c r="O10" t="s">
        <v>61</v>
      </c>
      <c r="P10" t="s">
        <v>61</v>
      </c>
    </row>
    <row r="11" spans="1:16" x14ac:dyDescent="0.25">
      <c r="A11" t="s">
        <v>278</v>
      </c>
      <c r="B11">
        <v>11</v>
      </c>
      <c r="C11">
        <v>323</v>
      </c>
      <c r="D11">
        <v>600</v>
      </c>
      <c r="E11">
        <v>5175</v>
      </c>
      <c r="F11">
        <v>100</v>
      </c>
      <c r="G11">
        <v>41</v>
      </c>
      <c r="H11">
        <v>10</v>
      </c>
      <c r="I11" t="s">
        <v>61</v>
      </c>
      <c r="J11" t="s">
        <v>61</v>
      </c>
      <c r="K11" t="s">
        <v>61</v>
      </c>
      <c r="L11" t="s">
        <v>61</v>
      </c>
      <c r="M11" t="s">
        <v>61</v>
      </c>
      <c r="N11" t="s">
        <v>61</v>
      </c>
      <c r="O11" t="s">
        <v>61</v>
      </c>
      <c r="P11" t="s">
        <v>61</v>
      </c>
    </row>
    <row r="12" spans="1:16" x14ac:dyDescent="0.25">
      <c r="A12" t="s">
        <v>279</v>
      </c>
      <c r="B12">
        <v>12</v>
      </c>
      <c r="C12">
        <v>286</v>
      </c>
      <c r="D12">
        <v>800</v>
      </c>
      <c r="E12">
        <v>7275</v>
      </c>
      <c r="F12">
        <v>100</v>
      </c>
      <c r="G12">
        <v>45</v>
      </c>
      <c r="H12">
        <v>10</v>
      </c>
      <c r="I12" t="s">
        <v>61</v>
      </c>
      <c r="J12" t="s">
        <v>61</v>
      </c>
      <c r="K12" t="s">
        <v>61</v>
      </c>
      <c r="L12" t="s">
        <v>61</v>
      </c>
      <c r="M12" t="s">
        <v>61</v>
      </c>
      <c r="N12" t="s">
        <v>61</v>
      </c>
      <c r="O12" t="s">
        <v>61</v>
      </c>
      <c r="P12" t="s">
        <v>61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0805-C5D6-4524-8735-E684018942B3}">
  <dimension ref="A1:F14"/>
  <sheetViews>
    <sheetView workbookViewId="0">
      <selection activeCell="F14" sqref="F14"/>
    </sheetView>
  </sheetViews>
  <sheetFormatPr defaultRowHeight="15" x14ac:dyDescent="0.25"/>
  <sheetData>
    <row r="1" spans="1:6" ht="99" x14ac:dyDescent="0.25">
      <c r="A1" s="2" t="s">
        <v>103</v>
      </c>
      <c r="B1" s="2" t="s">
        <v>8</v>
      </c>
      <c r="C1" s="2" t="s">
        <v>1</v>
      </c>
      <c r="D1" s="2" t="s">
        <v>280</v>
      </c>
      <c r="E1" s="2" t="s">
        <v>281</v>
      </c>
      <c r="F1" s="2" t="s">
        <v>282</v>
      </c>
    </row>
    <row r="2" spans="1:6" x14ac:dyDescent="0.25">
      <c r="A2" s="7">
        <v>200</v>
      </c>
      <c r="B2" s="7">
        <v>50</v>
      </c>
      <c r="C2" s="7">
        <v>50</v>
      </c>
      <c r="D2" s="7">
        <v>50</v>
      </c>
      <c r="E2" s="7">
        <v>2</v>
      </c>
      <c r="F2" s="7">
        <v>0</v>
      </c>
    </row>
    <row r="3" spans="1:6" x14ac:dyDescent="0.25">
      <c r="A3" s="8">
        <v>1000</v>
      </c>
      <c r="B3" s="8">
        <v>50</v>
      </c>
      <c r="C3" s="8">
        <v>100</v>
      </c>
      <c r="D3" s="8">
        <v>90</v>
      </c>
      <c r="E3" s="8">
        <v>5</v>
      </c>
      <c r="F3" s="8">
        <v>1</v>
      </c>
    </row>
    <row r="4" spans="1:6" x14ac:dyDescent="0.25">
      <c r="A4" s="7">
        <v>800</v>
      </c>
      <c r="B4" s="7">
        <v>55</v>
      </c>
      <c r="C4" s="7">
        <v>250</v>
      </c>
      <c r="D4" s="7">
        <v>90</v>
      </c>
      <c r="E4" s="7">
        <v>9</v>
      </c>
      <c r="F4" s="7">
        <v>2</v>
      </c>
    </row>
    <row r="5" spans="1:6" x14ac:dyDescent="0.25">
      <c r="A5" s="8">
        <v>750</v>
      </c>
      <c r="B5" s="8">
        <v>60</v>
      </c>
      <c r="C5" s="8">
        <v>650</v>
      </c>
      <c r="D5" s="8">
        <v>90</v>
      </c>
      <c r="E5" s="8">
        <v>14</v>
      </c>
      <c r="F5" s="8">
        <v>3</v>
      </c>
    </row>
    <row r="6" spans="1:6" x14ac:dyDescent="0.25">
      <c r="A6" s="7">
        <v>650</v>
      </c>
      <c r="B6" s="7">
        <v>100</v>
      </c>
      <c r="C6" s="7">
        <v>1200</v>
      </c>
      <c r="D6" s="7">
        <v>90</v>
      </c>
      <c r="E6" s="7">
        <v>18</v>
      </c>
      <c r="F6" s="7">
        <v>4</v>
      </c>
    </row>
    <row r="7" spans="1:6" x14ac:dyDescent="0.25">
      <c r="A7" s="8">
        <v>580</v>
      </c>
      <c r="B7" s="8">
        <v>100</v>
      </c>
      <c r="C7" s="8">
        <v>1875</v>
      </c>
      <c r="D7" s="8">
        <v>90</v>
      </c>
      <c r="E7" s="8">
        <v>23</v>
      </c>
      <c r="F7" s="8">
        <v>8</v>
      </c>
    </row>
    <row r="8" spans="1:6" x14ac:dyDescent="0.25">
      <c r="A8" s="7">
        <v>490</v>
      </c>
      <c r="B8" s="7">
        <v>150</v>
      </c>
      <c r="C8" s="7">
        <v>2490</v>
      </c>
      <c r="D8" s="7">
        <v>90</v>
      </c>
      <c r="E8" s="7">
        <v>27</v>
      </c>
      <c r="F8" s="7">
        <v>10</v>
      </c>
    </row>
    <row r="9" spans="1:6" x14ac:dyDescent="0.25">
      <c r="A9" s="8">
        <v>420</v>
      </c>
      <c r="B9" s="8">
        <v>0</v>
      </c>
      <c r="C9" s="8">
        <v>3105</v>
      </c>
      <c r="D9" s="8">
        <v>100</v>
      </c>
      <c r="E9" s="8">
        <v>32</v>
      </c>
      <c r="F9" s="8">
        <v>10</v>
      </c>
    </row>
    <row r="10" spans="1:6" x14ac:dyDescent="0.25">
      <c r="A10" s="7">
        <v>370</v>
      </c>
      <c r="B10" s="7">
        <v>400</v>
      </c>
      <c r="C10" s="7">
        <v>4230</v>
      </c>
      <c r="D10" s="7">
        <v>90</v>
      </c>
      <c r="E10" s="7">
        <v>36</v>
      </c>
      <c r="F10" s="7">
        <v>10</v>
      </c>
    </row>
    <row r="11" spans="1:6" x14ac:dyDescent="0.25">
      <c r="A11" s="8">
        <v>323</v>
      </c>
      <c r="B11" s="8">
        <v>600</v>
      </c>
      <c r="C11" s="8">
        <v>5175</v>
      </c>
      <c r="D11" s="8">
        <v>100</v>
      </c>
      <c r="E11" s="8">
        <v>41</v>
      </c>
      <c r="F11" s="8">
        <v>10</v>
      </c>
    </row>
    <row r="12" spans="1:6" x14ac:dyDescent="0.25">
      <c r="A12" s="7">
        <v>286</v>
      </c>
      <c r="B12" s="7">
        <v>800</v>
      </c>
      <c r="C12" s="7">
        <v>7275</v>
      </c>
      <c r="D12" s="7">
        <v>100</v>
      </c>
      <c r="E12" s="7">
        <v>45</v>
      </c>
      <c r="F12" s="7">
        <v>10</v>
      </c>
    </row>
    <row r="14" spans="1:6" x14ac:dyDescent="0.25">
      <c r="C14" s="9">
        <v>400</v>
      </c>
      <c r="D14">
        <f>C14-150</f>
        <v>250</v>
      </c>
      <c r="E14" s="9">
        <v>270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670C-F3E7-4585-9081-4323D636FD1C}">
  <dimension ref="A1:AH70"/>
  <sheetViews>
    <sheetView topLeftCell="A4" workbookViewId="0">
      <selection activeCell="T49" sqref="T49"/>
    </sheetView>
  </sheetViews>
  <sheetFormatPr defaultRowHeight="15" x14ac:dyDescent="0.25"/>
  <cols>
    <col min="1" max="1" width="34.28515625" bestFit="1" customWidth="1"/>
    <col min="2" max="20" width="7.28515625" bestFit="1" customWidth="1"/>
    <col min="21" max="21" width="14.42578125" bestFit="1" customWidth="1"/>
    <col min="22" max="22" width="8.140625" bestFit="1" customWidth="1"/>
    <col min="23" max="34" width="7.28515625" bestFit="1" customWidth="1"/>
  </cols>
  <sheetData>
    <row r="1" spans="1:34" s="1" customFormat="1" ht="166.5" x14ac:dyDescent="0.25">
      <c r="A1" s="1" t="s">
        <v>0</v>
      </c>
      <c r="B1" s="1" t="s">
        <v>77</v>
      </c>
      <c r="C1" s="2" t="s">
        <v>103</v>
      </c>
      <c r="D1" s="2" t="s">
        <v>8</v>
      </c>
      <c r="E1" s="2" t="s">
        <v>1</v>
      </c>
      <c r="F1" s="1" t="s">
        <v>353</v>
      </c>
      <c r="G1" s="1" t="s">
        <v>283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58</v>
      </c>
      <c r="M1" s="2" t="s">
        <v>57</v>
      </c>
      <c r="N1" s="2" t="s">
        <v>59</v>
      </c>
      <c r="O1" s="3" t="s">
        <v>60</v>
      </c>
      <c r="P1" s="1" t="s">
        <v>354</v>
      </c>
      <c r="Q1" s="1" t="s">
        <v>355</v>
      </c>
      <c r="R1" s="1" t="s">
        <v>378</v>
      </c>
      <c r="S1" s="1" t="s">
        <v>377</v>
      </c>
      <c r="T1" s="1" t="s">
        <v>356</v>
      </c>
      <c r="U1" s="1" t="s">
        <v>357</v>
      </c>
      <c r="V1" s="1" t="s">
        <v>376</v>
      </c>
      <c r="W1" s="1" t="s">
        <v>368</v>
      </c>
      <c r="X1" s="1" t="s">
        <v>367</v>
      </c>
      <c r="Y1" s="1" t="s">
        <v>366</v>
      </c>
      <c r="Z1" s="1" t="s">
        <v>365</v>
      </c>
      <c r="AA1" s="1" t="s">
        <v>364</v>
      </c>
      <c r="AB1" s="1" t="s">
        <v>363</v>
      </c>
      <c r="AC1" s="1" t="s">
        <v>362</v>
      </c>
      <c r="AD1" s="1" t="s">
        <v>358</v>
      </c>
      <c r="AE1" s="1" t="s">
        <v>359</v>
      </c>
      <c r="AF1" s="1" t="s">
        <v>360</v>
      </c>
      <c r="AG1" s="1" t="s">
        <v>361</v>
      </c>
      <c r="AH1" s="1" t="s">
        <v>375</v>
      </c>
    </row>
    <row r="2" spans="1:34" x14ac:dyDescent="0.25">
      <c r="A2" t="s">
        <v>370</v>
      </c>
      <c r="B2">
        <v>0</v>
      </c>
      <c r="C2">
        <v>105</v>
      </c>
      <c r="D2">
        <v>90</v>
      </c>
      <c r="E2">
        <v>550</v>
      </c>
      <c r="F2">
        <v>40</v>
      </c>
      <c r="G2">
        <v>30</v>
      </c>
      <c r="I2" t="s">
        <v>61</v>
      </c>
      <c r="J2" t="s">
        <v>61</v>
      </c>
      <c r="K2" t="s">
        <v>61</v>
      </c>
      <c r="L2" t="s">
        <v>61</v>
      </c>
      <c r="O2" t="s">
        <v>61</v>
      </c>
      <c r="P2">
        <v>2</v>
      </c>
      <c r="Q2">
        <v>10</v>
      </c>
      <c r="R2">
        <v>2</v>
      </c>
      <c r="S2">
        <v>5</v>
      </c>
      <c r="T2" t="s">
        <v>284</v>
      </c>
      <c r="U2" t="s">
        <v>64</v>
      </c>
      <c r="V2" t="s">
        <v>285</v>
      </c>
      <c r="W2">
        <v>10</v>
      </c>
      <c r="X2">
        <v>0</v>
      </c>
      <c r="Y2">
        <v>0</v>
      </c>
      <c r="Z2">
        <v>6</v>
      </c>
      <c r="AA2">
        <v>1</v>
      </c>
      <c r="AB2">
        <v>0</v>
      </c>
      <c r="AC2">
        <v>4</v>
      </c>
      <c r="AD2">
        <v>100</v>
      </c>
      <c r="AE2">
        <v>0</v>
      </c>
      <c r="AF2">
        <v>0</v>
      </c>
      <c r="AG2">
        <v>0</v>
      </c>
      <c r="AH2" t="s">
        <v>284</v>
      </c>
    </row>
    <row r="3" spans="1:34" x14ac:dyDescent="0.25">
      <c r="A3" t="s">
        <v>371</v>
      </c>
      <c r="B3">
        <v>0</v>
      </c>
      <c r="C3">
        <v>50</v>
      </c>
      <c r="D3">
        <v>125</v>
      </c>
      <c r="E3">
        <v>1500</v>
      </c>
      <c r="F3">
        <v>40</v>
      </c>
      <c r="G3">
        <v>18</v>
      </c>
      <c r="I3" t="s">
        <v>61</v>
      </c>
      <c r="J3" t="s">
        <v>61</v>
      </c>
      <c r="K3" t="s">
        <v>61</v>
      </c>
      <c r="L3" t="s">
        <v>61</v>
      </c>
      <c r="O3" t="s">
        <v>61</v>
      </c>
      <c r="P3">
        <v>2</v>
      </c>
      <c r="Q3">
        <v>15</v>
      </c>
      <c r="R3">
        <v>3</v>
      </c>
      <c r="S3">
        <v>8</v>
      </c>
      <c r="T3" t="s">
        <v>284</v>
      </c>
      <c r="U3" t="s">
        <v>64</v>
      </c>
      <c r="V3" t="s">
        <v>285</v>
      </c>
      <c r="W3">
        <v>10</v>
      </c>
      <c r="X3">
        <v>0</v>
      </c>
      <c r="Y3">
        <v>0</v>
      </c>
      <c r="Z3">
        <v>16</v>
      </c>
      <c r="AA3">
        <v>3</v>
      </c>
      <c r="AB3">
        <v>0</v>
      </c>
      <c r="AC3">
        <v>2</v>
      </c>
      <c r="AD3">
        <v>100</v>
      </c>
      <c r="AE3">
        <v>0</v>
      </c>
      <c r="AF3">
        <v>0</v>
      </c>
      <c r="AG3">
        <v>0</v>
      </c>
      <c r="AH3" t="s">
        <v>284</v>
      </c>
    </row>
    <row r="4" spans="1:34" x14ac:dyDescent="0.25">
      <c r="A4" t="s">
        <v>286</v>
      </c>
      <c r="B4">
        <v>0</v>
      </c>
      <c r="C4">
        <v>300</v>
      </c>
      <c r="D4">
        <v>55</v>
      </c>
      <c r="E4">
        <v>750</v>
      </c>
      <c r="F4">
        <v>50</v>
      </c>
      <c r="G4" t="s">
        <v>143</v>
      </c>
      <c r="H4" t="s">
        <v>61</v>
      </c>
      <c r="I4" t="s">
        <v>61</v>
      </c>
      <c r="J4" t="s">
        <v>61</v>
      </c>
      <c r="K4" t="s">
        <v>61</v>
      </c>
      <c r="M4" t="s">
        <v>61</v>
      </c>
      <c r="N4" t="s">
        <v>61</v>
      </c>
      <c r="O4" t="s">
        <v>61</v>
      </c>
      <c r="P4">
        <v>1</v>
      </c>
      <c r="Q4">
        <v>10</v>
      </c>
      <c r="R4">
        <v>2</v>
      </c>
      <c r="S4">
        <v>3</v>
      </c>
      <c r="T4" t="s">
        <v>284</v>
      </c>
      <c r="U4" t="s">
        <v>62</v>
      </c>
      <c r="V4" t="s">
        <v>287</v>
      </c>
      <c r="W4">
        <v>20</v>
      </c>
      <c r="X4">
        <v>20</v>
      </c>
      <c r="Y4">
        <v>50</v>
      </c>
      <c r="Z4">
        <v>10</v>
      </c>
      <c r="AA4">
        <v>0</v>
      </c>
      <c r="AB4">
        <v>20</v>
      </c>
      <c r="AC4">
        <v>1</v>
      </c>
      <c r="AD4">
        <v>100</v>
      </c>
      <c r="AE4">
        <v>0</v>
      </c>
      <c r="AF4">
        <v>0</v>
      </c>
      <c r="AG4">
        <v>0</v>
      </c>
      <c r="AH4" t="s">
        <v>284</v>
      </c>
    </row>
    <row r="5" spans="1:34" x14ac:dyDescent="0.25">
      <c r="A5" t="s">
        <v>288</v>
      </c>
      <c r="B5">
        <v>0</v>
      </c>
      <c r="C5">
        <v>300</v>
      </c>
      <c r="D5">
        <v>100</v>
      </c>
      <c r="E5">
        <v>3500</v>
      </c>
      <c r="F5">
        <v>50</v>
      </c>
      <c r="G5" t="s">
        <v>143</v>
      </c>
      <c r="K5" t="s">
        <v>61</v>
      </c>
      <c r="M5" t="s">
        <v>61</v>
      </c>
      <c r="N5" t="s">
        <v>61</v>
      </c>
      <c r="O5" t="s">
        <v>61</v>
      </c>
      <c r="P5">
        <v>1</v>
      </c>
      <c r="Q5">
        <v>15</v>
      </c>
      <c r="R5">
        <v>3</v>
      </c>
      <c r="S5">
        <v>5</v>
      </c>
      <c r="T5" t="s">
        <v>284</v>
      </c>
      <c r="U5" t="s">
        <v>62</v>
      </c>
      <c r="V5" t="s">
        <v>287</v>
      </c>
      <c r="W5">
        <v>20</v>
      </c>
      <c r="X5">
        <v>27</v>
      </c>
      <c r="Y5">
        <v>75</v>
      </c>
      <c r="Z5">
        <v>15</v>
      </c>
      <c r="AA5">
        <v>0</v>
      </c>
      <c r="AB5">
        <v>20</v>
      </c>
      <c r="AC5">
        <v>1</v>
      </c>
      <c r="AD5">
        <v>100</v>
      </c>
      <c r="AE5">
        <v>0</v>
      </c>
      <c r="AF5">
        <v>0</v>
      </c>
      <c r="AG5">
        <v>0</v>
      </c>
      <c r="AH5" t="s">
        <v>284</v>
      </c>
    </row>
    <row r="6" spans="1:34" x14ac:dyDescent="0.25">
      <c r="A6" t="s">
        <v>289</v>
      </c>
      <c r="B6">
        <v>0</v>
      </c>
      <c r="C6">
        <v>400</v>
      </c>
      <c r="D6">
        <v>75</v>
      </c>
      <c r="E6">
        <v>2000</v>
      </c>
      <c r="F6">
        <v>50</v>
      </c>
      <c r="G6">
        <v>10</v>
      </c>
      <c r="J6" t="s">
        <v>61</v>
      </c>
      <c r="M6" t="s">
        <v>61</v>
      </c>
      <c r="N6" t="s">
        <v>61</v>
      </c>
      <c r="O6" t="s">
        <v>61</v>
      </c>
      <c r="P6">
        <v>1</v>
      </c>
      <c r="Q6">
        <v>30</v>
      </c>
      <c r="R6" t="s">
        <v>290</v>
      </c>
      <c r="S6" t="s">
        <v>290</v>
      </c>
      <c r="T6" t="s">
        <v>61</v>
      </c>
      <c r="U6" t="s">
        <v>63</v>
      </c>
      <c r="V6" t="s">
        <v>285</v>
      </c>
      <c r="W6">
        <v>30</v>
      </c>
      <c r="X6">
        <v>0</v>
      </c>
      <c r="Y6">
        <v>0</v>
      </c>
      <c r="Z6">
        <v>25</v>
      </c>
      <c r="AA6">
        <v>3</v>
      </c>
      <c r="AB6">
        <v>0</v>
      </c>
      <c r="AC6">
        <v>3</v>
      </c>
      <c r="AD6">
        <v>100</v>
      </c>
      <c r="AE6">
        <v>0</v>
      </c>
      <c r="AF6">
        <v>0</v>
      </c>
      <c r="AG6">
        <v>0</v>
      </c>
      <c r="AH6" t="s">
        <v>61</v>
      </c>
    </row>
    <row r="7" spans="1:34" x14ac:dyDescent="0.25">
      <c r="A7" t="s">
        <v>291</v>
      </c>
      <c r="B7">
        <v>0</v>
      </c>
      <c r="C7">
        <v>400</v>
      </c>
      <c r="D7">
        <v>50</v>
      </c>
      <c r="E7">
        <v>1000</v>
      </c>
      <c r="F7">
        <v>50</v>
      </c>
      <c r="G7">
        <v>10</v>
      </c>
      <c r="H7" t="s">
        <v>61</v>
      </c>
      <c r="I7" t="s">
        <v>61</v>
      </c>
      <c r="J7" t="s">
        <v>61</v>
      </c>
      <c r="M7" t="s">
        <v>61</v>
      </c>
      <c r="N7" t="s">
        <v>61</v>
      </c>
      <c r="O7" t="s">
        <v>61</v>
      </c>
      <c r="P7">
        <v>1</v>
      </c>
      <c r="Q7">
        <v>30</v>
      </c>
      <c r="R7">
        <v>6</v>
      </c>
      <c r="S7" t="s">
        <v>290</v>
      </c>
      <c r="T7" t="s">
        <v>61</v>
      </c>
      <c r="U7" t="s">
        <v>63</v>
      </c>
      <c r="V7" t="s">
        <v>285</v>
      </c>
      <c r="W7">
        <v>30</v>
      </c>
      <c r="X7">
        <v>0</v>
      </c>
      <c r="Y7">
        <v>0</v>
      </c>
      <c r="Z7">
        <v>25</v>
      </c>
      <c r="AA7">
        <v>3</v>
      </c>
      <c r="AB7">
        <v>0</v>
      </c>
      <c r="AC7">
        <v>2</v>
      </c>
      <c r="AD7">
        <v>100</v>
      </c>
      <c r="AE7">
        <v>0</v>
      </c>
      <c r="AF7">
        <v>0</v>
      </c>
      <c r="AG7">
        <v>0</v>
      </c>
      <c r="AH7" t="s">
        <v>61</v>
      </c>
    </row>
    <row r="8" spans="1:34" x14ac:dyDescent="0.25">
      <c r="A8" t="s">
        <v>372</v>
      </c>
      <c r="B8">
        <v>1</v>
      </c>
      <c r="C8">
        <v>35</v>
      </c>
      <c r="D8">
        <v>360</v>
      </c>
      <c r="E8">
        <v>4500</v>
      </c>
      <c r="F8">
        <v>40</v>
      </c>
      <c r="G8">
        <v>12</v>
      </c>
      <c r="L8" t="s">
        <v>61</v>
      </c>
      <c r="O8" t="s">
        <v>61</v>
      </c>
      <c r="P8">
        <v>1</v>
      </c>
      <c r="Q8">
        <v>20</v>
      </c>
      <c r="R8">
        <v>5</v>
      </c>
      <c r="S8">
        <v>10</v>
      </c>
      <c r="T8" t="s">
        <v>284</v>
      </c>
      <c r="U8" t="s">
        <v>64</v>
      </c>
      <c r="V8" t="s">
        <v>285</v>
      </c>
      <c r="W8">
        <v>10</v>
      </c>
      <c r="X8">
        <v>0</v>
      </c>
      <c r="Y8">
        <v>0</v>
      </c>
      <c r="Z8">
        <v>30</v>
      </c>
      <c r="AA8">
        <v>4</v>
      </c>
      <c r="AB8">
        <v>0</v>
      </c>
      <c r="AC8">
        <v>3</v>
      </c>
      <c r="AD8">
        <v>100</v>
      </c>
      <c r="AE8">
        <v>0</v>
      </c>
      <c r="AF8">
        <v>0</v>
      </c>
      <c r="AG8">
        <v>0</v>
      </c>
      <c r="AH8" t="s">
        <v>284</v>
      </c>
    </row>
    <row r="9" spans="1:34" x14ac:dyDescent="0.25">
      <c r="A9" t="s">
        <v>292</v>
      </c>
      <c r="B9">
        <v>1</v>
      </c>
      <c r="C9">
        <v>20</v>
      </c>
      <c r="D9">
        <v>450</v>
      </c>
      <c r="E9">
        <v>7000</v>
      </c>
      <c r="F9">
        <v>40</v>
      </c>
      <c r="G9">
        <v>8</v>
      </c>
      <c r="L9" t="s">
        <v>61</v>
      </c>
      <c r="O9" t="s">
        <v>369</v>
      </c>
      <c r="P9">
        <v>1</v>
      </c>
      <c r="Q9">
        <v>25</v>
      </c>
      <c r="R9">
        <v>5</v>
      </c>
      <c r="S9">
        <v>10</v>
      </c>
      <c r="T9" t="s">
        <v>284</v>
      </c>
      <c r="U9" t="s">
        <v>64</v>
      </c>
      <c r="V9" t="s">
        <v>285</v>
      </c>
      <c r="W9">
        <v>10</v>
      </c>
      <c r="X9">
        <v>0</v>
      </c>
      <c r="Y9">
        <v>0</v>
      </c>
      <c r="Z9">
        <v>110</v>
      </c>
      <c r="AA9">
        <v>15</v>
      </c>
      <c r="AB9">
        <v>0</v>
      </c>
      <c r="AC9">
        <v>1</v>
      </c>
      <c r="AD9">
        <v>100</v>
      </c>
      <c r="AE9">
        <v>0</v>
      </c>
      <c r="AF9">
        <v>0</v>
      </c>
      <c r="AG9">
        <v>0</v>
      </c>
      <c r="AH9" t="s">
        <v>284</v>
      </c>
    </row>
    <row r="10" spans="1:34" x14ac:dyDescent="0.25">
      <c r="A10" t="s">
        <v>293</v>
      </c>
      <c r="B10">
        <v>1</v>
      </c>
      <c r="C10">
        <v>175</v>
      </c>
      <c r="D10">
        <v>100</v>
      </c>
      <c r="E10">
        <v>3850</v>
      </c>
      <c r="F10">
        <v>45</v>
      </c>
      <c r="G10">
        <v>24</v>
      </c>
      <c r="I10" t="s">
        <v>61</v>
      </c>
      <c r="J10" t="s">
        <v>61</v>
      </c>
      <c r="K10" t="s">
        <v>61</v>
      </c>
      <c r="L10" t="s">
        <v>61</v>
      </c>
      <c r="O10" t="s">
        <v>61</v>
      </c>
      <c r="P10">
        <v>2</v>
      </c>
      <c r="Q10">
        <v>10</v>
      </c>
      <c r="R10">
        <v>2</v>
      </c>
      <c r="S10">
        <v>5</v>
      </c>
      <c r="T10" t="s">
        <v>284</v>
      </c>
      <c r="U10" t="s">
        <v>64</v>
      </c>
      <c r="V10" t="s">
        <v>285</v>
      </c>
      <c r="W10">
        <v>20</v>
      </c>
      <c r="X10">
        <v>0</v>
      </c>
      <c r="Y10">
        <v>0</v>
      </c>
      <c r="Z10">
        <v>7</v>
      </c>
      <c r="AA10">
        <v>2</v>
      </c>
      <c r="AB10">
        <v>0</v>
      </c>
      <c r="AC10">
        <v>5</v>
      </c>
      <c r="AD10">
        <v>100</v>
      </c>
      <c r="AE10">
        <v>0</v>
      </c>
      <c r="AF10">
        <v>0</v>
      </c>
      <c r="AG10">
        <v>0</v>
      </c>
      <c r="AH10" t="s">
        <v>284</v>
      </c>
    </row>
    <row r="11" spans="1:34" x14ac:dyDescent="0.25">
      <c r="A11" t="s">
        <v>294</v>
      </c>
      <c r="B11">
        <v>1</v>
      </c>
      <c r="C11">
        <v>20</v>
      </c>
      <c r="D11">
        <v>100</v>
      </c>
      <c r="E11">
        <v>2500</v>
      </c>
      <c r="F11">
        <v>40</v>
      </c>
      <c r="G11">
        <v>24</v>
      </c>
      <c r="L11" t="s">
        <v>61</v>
      </c>
      <c r="O11" t="s">
        <v>369</v>
      </c>
      <c r="P11">
        <v>2</v>
      </c>
      <c r="Q11">
        <v>30</v>
      </c>
      <c r="R11">
        <v>10</v>
      </c>
      <c r="S11">
        <v>10</v>
      </c>
      <c r="T11" t="s">
        <v>284</v>
      </c>
      <c r="U11" t="s">
        <v>64</v>
      </c>
      <c r="V11" t="s">
        <v>285</v>
      </c>
      <c r="W11">
        <v>10</v>
      </c>
      <c r="X11">
        <v>0</v>
      </c>
      <c r="Y11">
        <v>0</v>
      </c>
      <c r="Z11">
        <v>30</v>
      </c>
      <c r="AA11">
        <v>10</v>
      </c>
      <c r="AB11">
        <v>0</v>
      </c>
      <c r="AC11">
        <v>1</v>
      </c>
      <c r="AD11">
        <v>100</v>
      </c>
      <c r="AE11">
        <v>0</v>
      </c>
      <c r="AF11">
        <v>0</v>
      </c>
      <c r="AG11">
        <v>0</v>
      </c>
      <c r="AH11" t="s">
        <v>284</v>
      </c>
    </row>
    <row r="12" spans="1:34" x14ac:dyDescent="0.25">
      <c r="A12" t="s">
        <v>295</v>
      </c>
      <c r="B12">
        <v>1</v>
      </c>
      <c r="C12">
        <v>100</v>
      </c>
      <c r="D12">
        <v>350</v>
      </c>
      <c r="E12">
        <v>5250</v>
      </c>
      <c r="F12">
        <v>40</v>
      </c>
      <c r="G12" t="s">
        <v>143</v>
      </c>
      <c r="L12" t="s">
        <v>61</v>
      </c>
      <c r="O12" t="s">
        <v>61</v>
      </c>
      <c r="P12">
        <v>1</v>
      </c>
      <c r="Q12">
        <v>20</v>
      </c>
      <c r="R12">
        <v>5</v>
      </c>
      <c r="S12">
        <v>10</v>
      </c>
      <c r="T12" t="s">
        <v>61</v>
      </c>
      <c r="U12" t="s">
        <v>62</v>
      </c>
      <c r="V12" t="s">
        <v>285</v>
      </c>
      <c r="W12">
        <v>10</v>
      </c>
      <c r="X12">
        <v>15</v>
      </c>
      <c r="Y12">
        <v>75</v>
      </c>
      <c r="Z12">
        <v>15</v>
      </c>
      <c r="AA12">
        <v>0</v>
      </c>
      <c r="AB12">
        <v>20</v>
      </c>
      <c r="AC12">
        <v>1</v>
      </c>
      <c r="AD12">
        <v>100</v>
      </c>
      <c r="AE12">
        <v>80</v>
      </c>
      <c r="AF12">
        <v>0</v>
      </c>
      <c r="AG12">
        <v>0</v>
      </c>
      <c r="AH12" t="s">
        <v>284</v>
      </c>
    </row>
    <row r="13" spans="1:34" x14ac:dyDescent="0.25">
      <c r="A13" t="s">
        <v>296</v>
      </c>
      <c r="B13">
        <v>1</v>
      </c>
      <c r="C13">
        <v>200</v>
      </c>
      <c r="D13">
        <v>120</v>
      </c>
      <c r="E13">
        <v>1800</v>
      </c>
      <c r="F13">
        <v>60</v>
      </c>
      <c r="G13">
        <v>30</v>
      </c>
      <c r="L13" t="s">
        <v>61</v>
      </c>
      <c r="O13" t="s">
        <v>61</v>
      </c>
      <c r="P13">
        <v>1</v>
      </c>
      <c r="Q13">
        <v>10</v>
      </c>
      <c r="R13">
        <v>2</v>
      </c>
      <c r="S13">
        <v>2</v>
      </c>
      <c r="T13" t="s">
        <v>284</v>
      </c>
      <c r="U13" t="s">
        <v>64</v>
      </c>
      <c r="V13" t="s">
        <v>287</v>
      </c>
      <c r="W13">
        <v>20</v>
      </c>
      <c r="X13">
        <v>20</v>
      </c>
      <c r="Y13">
        <v>3</v>
      </c>
      <c r="Z13">
        <v>3</v>
      </c>
      <c r="AA13">
        <v>0</v>
      </c>
      <c r="AB13">
        <v>100</v>
      </c>
      <c r="AC13">
        <v>20</v>
      </c>
      <c r="AD13">
        <v>100</v>
      </c>
      <c r="AE13">
        <v>0</v>
      </c>
      <c r="AF13">
        <v>0</v>
      </c>
      <c r="AG13">
        <v>0</v>
      </c>
      <c r="AH13" t="s">
        <v>284</v>
      </c>
    </row>
    <row r="14" spans="1:34" x14ac:dyDescent="0.25">
      <c r="A14" t="s">
        <v>297</v>
      </c>
      <c r="B14">
        <v>1</v>
      </c>
      <c r="C14">
        <v>350</v>
      </c>
      <c r="D14">
        <v>105</v>
      </c>
      <c r="E14">
        <v>3000</v>
      </c>
      <c r="F14">
        <v>60</v>
      </c>
      <c r="G14" t="s">
        <v>143</v>
      </c>
      <c r="H14" t="s">
        <v>61</v>
      </c>
      <c r="I14" t="s">
        <v>61</v>
      </c>
      <c r="J14" t="s">
        <v>61</v>
      </c>
      <c r="K14" t="s">
        <v>61</v>
      </c>
      <c r="M14" t="s">
        <v>61</v>
      </c>
      <c r="N14" t="s">
        <v>61</v>
      </c>
      <c r="O14" t="s">
        <v>61</v>
      </c>
      <c r="P14">
        <v>1</v>
      </c>
      <c r="Q14">
        <v>5</v>
      </c>
      <c r="R14">
        <v>1</v>
      </c>
      <c r="S14">
        <v>1</v>
      </c>
      <c r="T14" t="s">
        <v>284</v>
      </c>
      <c r="U14" t="s">
        <v>374</v>
      </c>
      <c r="V14" t="s">
        <v>287</v>
      </c>
      <c r="W14">
        <v>30</v>
      </c>
      <c r="X14">
        <v>32</v>
      </c>
      <c r="Y14">
        <v>150</v>
      </c>
      <c r="Z14">
        <v>0</v>
      </c>
      <c r="AA14">
        <v>0</v>
      </c>
      <c r="AB14">
        <v>0</v>
      </c>
      <c r="AC14">
        <v>1</v>
      </c>
      <c r="AD14">
        <v>100</v>
      </c>
      <c r="AE14">
        <v>0</v>
      </c>
      <c r="AF14">
        <v>0</v>
      </c>
      <c r="AG14">
        <v>0</v>
      </c>
      <c r="AH14" t="s">
        <v>284</v>
      </c>
    </row>
    <row r="15" spans="1:34" x14ac:dyDescent="0.25">
      <c r="A15" t="s">
        <v>298</v>
      </c>
      <c r="B15">
        <v>1</v>
      </c>
      <c r="C15">
        <v>500</v>
      </c>
      <c r="D15">
        <v>120</v>
      </c>
      <c r="E15">
        <v>6000</v>
      </c>
      <c r="F15">
        <v>60</v>
      </c>
      <c r="G15" t="s">
        <v>143</v>
      </c>
      <c r="K15" t="s">
        <v>61</v>
      </c>
      <c r="M15" t="s">
        <v>61</v>
      </c>
      <c r="N15" t="s">
        <v>61</v>
      </c>
      <c r="O15" t="s">
        <v>61</v>
      </c>
      <c r="P15">
        <v>1</v>
      </c>
      <c r="Q15">
        <v>2</v>
      </c>
      <c r="R15">
        <v>2</v>
      </c>
      <c r="S15">
        <v>2</v>
      </c>
      <c r="T15" t="s">
        <v>284</v>
      </c>
      <c r="U15" t="s">
        <v>66</v>
      </c>
      <c r="V15" t="s">
        <v>287</v>
      </c>
      <c r="W15">
        <v>5</v>
      </c>
      <c r="X15">
        <v>60</v>
      </c>
      <c r="Y15">
        <v>0</v>
      </c>
      <c r="Z15">
        <v>75</v>
      </c>
      <c r="AA15">
        <v>75</v>
      </c>
      <c r="AB15">
        <v>0</v>
      </c>
      <c r="AC15">
        <v>1</v>
      </c>
      <c r="AD15">
        <v>100</v>
      </c>
      <c r="AE15">
        <v>0</v>
      </c>
      <c r="AF15">
        <v>0</v>
      </c>
      <c r="AG15">
        <v>0</v>
      </c>
      <c r="AH15" t="s">
        <v>284</v>
      </c>
    </row>
    <row r="16" spans="1:34" x14ac:dyDescent="0.25">
      <c r="A16" t="s">
        <v>299</v>
      </c>
      <c r="B16">
        <v>1</v>
      </c>
      <c r="C16">
        <v>100</v>
      </c>
      <c r="D16">
        <v>50</v>
      </c>
      <c r="E16">
        <v>2000</v>
      </c>
      <c r="F16">
        <v>100</v>
      </c>
      <c r="G16">
        <v>1</v>
      </c>
      <c r="J16" t="s">
        <v>61</v>
      </c>
      <c r="M16" t="s">
        <v>61</v>
      </c>
      <c r="N16" t="s">
        <v>61</v>
      </c>
      <c r="O16" t="s">
        <v>61</v>
      </c>
      <c r="P16">
        <v>1</v>
      </c>
      <c r="Q16">
        <v>2</v>
      </c>
      <c r="R16">
        <v>1</v>
      </c>
      <c r="S16" t="s">
        <v>290</v>
      </c>
      <c r="T16" t="s">
        <v>61</v>
      </c>
      <c r="U16" t="s">
        <v>63</v>
      </c>
      <c r="V16" t="s">
        <v>287</v>
      </c>
      <c r="W16">
        <v>15</v>
      </c>
      <c r="X16">
        <v>0</v>
      </c>
      <c r="Y16">
        <v>0</v>
      </c>
      <c r="Z16">
        <v>20</v>
      </c>
      <c r="AA16">
        <v>3</v>
      </c>
      <c r="AB16">
        <v>0</v>
      </c>
      <c r="AC16">
        <v>8</v>
      </c>
      <c r="AD16">
        <v>100</v>
      </c>
      <c r="AE16">
        <v>80</v>
      </c>
      <c r="AF16">
        <v>50</v>
      </c>
      <c r="AG16">
        <v>0</v>
      </c>
      <c r="AH16" t="s">
        <v>61</v>
      </c>
    </row>
    <row r="17" spans="1:34" x14ac:dyDescent="0.25">
      <c r="A17" t="s">
        <v>300</v>
      </c>
      <c r="B17">
        <v>1</v>
      </c>
      <c r="C17">
        <v>400</v>
      </c>
      <c r="D17">
        <v>75</v>
      </c>
      <c r="E17">
        <v>700</v>
      </c>
      <c r="F17">
        <v>60</v>
      </c>
      <c r="G17" t="s">
        <v>143</v>
      </c>
      <c r="H17" t="s">
        <v>61</v>
      </c>
      <c r="I17" t="s">
        <v>61</v>
      </c>
      <c r="J17" t="s">
        <v>61</v>
      </c>
      <c r="K17" t="s">
        <v>61</v>
      </c>
      <c r="M17" t="s">
        <v>61</v>
      </c>
      <c r="N17" t="s">
        <v>61</v>
      </c>
      <c r="O17" t="s">
        <v>61</v>
      </c>
      <c r="P17">
        <v>1</v>
      </c>
      <c r="Q17">
        <v>2</v>
      </c>
      <c r="R17">
        <v>1</v>
      </c>
      <c r="S17">
        <v>1</v>
      </c>
      <c r="T17" t="s">
        <v>284</v>
      </c>
      <c r="U17" t="s">
        <v>66</v>
      </c>
      <c r="V17" t="s">
        <v>287</v>
      </c>
      <c r="W17">
        <v>5</v>
      </c>
      <c r="X17">
        <v>40</v>
      </c>
      <c r="Y17">
        <v>0</v>
      </c>
      <c r="Z17">
        <v>50</v>
      </c>
      <c r="AA17">
        <v>50</v>
      </c>
      <c r="AB17">
        <v>0</v>
      </c>
      <c r="AC17">
        <v>1</v>
      </c>
      <c r="AD17">
        <v>100</v>
      </c>
      <c r="AE17">
        <v>0</v>
      </c>
      <c r="AF17">
        <v>0</v>
      </c>
      <c r="AG17">
        <v>0</v>
      </c>
      <c r="AH17" t="s">
        <v>284</v>
      </c>
    </row>
    <row r="18" spans="1:34" x14ac:dyDescent="0.25">
      <c r="A18" t="s">
        <v>301</v>
      </c>
      <c r="B18">
        <v>1</v>
      </c>
      <c r="C18">
        <v>400</v>
      </c>
      <c r="D18">
        <v>90</v>
      </c>
      <c r="E18">
        <v>2500</v>
      </c>
      <c r="F18">
        <v>60</v>
      </c>
      <c r="G18" t="s">
        <v>143</v>
      </c>
      <c r="K18" t="s">
        <v>61</v>
      </c>
      <c r="M18" t="s">
        <v>61</v>
      </c>
      <c r="N18" t="s">
        <v>61</v>
      </c>
      <c r="O18" t="s">
        <v>61</v>
      </c>
      <c r="P18">
        <v>1</v>
      </c>
      <c r="Q18">
        <v>2</v>
      </c>
      <c r="R18">
        <v>1</v>
      </c>
      <c r="S18">
        <v>1</v>
      </c>
      <c r="T18" t="s">
        <v>284</v>
      </c>
      <c r="U18" t="s">
        <v>66</v>
      </c>
      <c r="V18" t="s">
        <v>287</v>
      </c>
      <c r="W18">
        <v>5</v>
      </c>
      <c r="X18">
        <v>50</v>
      </c>
      <c r="Y18">
        <v>0</v>
      </c>
      <c r="Z18">
        <v>60</v>
      </c>
      <c r="AA18">
        <v>60</v>
      </c>
      <c r="AB18">
        <v>0</v>
      </c>
      <c r="AC18">
        <v>1</v>
      </c>
      <c r="AD18">
        <v>100</v>
      </c>
      <c r="AE18">
        <v>0</v>
      </c>
      <c r="AF18">
        <v>0</v>
      </c>
      <c r="AG18">
        <v>0</v>
      </c>
      <c r="AH18" t="s">
        <v>284</v>
      </c>
    </row>
    <row r="19" spans="1:34" x14ac:dyDescent="0.25">
      <c r="A19" t="s">
        <v>302</v>
      </c>
      <c r="B19">
        <v>1</v>
      </c>
      <c r="C19">
        <v>400</v>
      </c>
      <c r="D19">
        <v>90</v>
      </c>
      <c r="E19">
        <v>3000</v>
      </c>
      <c r="F19">
        <v>50</v>
      </c>
      <c r="G19">
        <v>6</v>
      </c>
      <c r="J19" t="s">
        <v>61</v>
      </c>
      <c r="M19" t="s">
        <v>61</v>
      </c>
      <c r="N19" t="s">
        <v>61</v>
      </c>
      <c r="O19" t="s">
        <v>61</v>
      </c>
      <c r="P19">
        <v>1</v>
      </c>
      <c r="Q19">
        <v>20</v>
      </c>
      <c r="R19">
        <v>4</v>
      </c>
      <c r="S19" t="s">
        <v>290</v>
      </c>
      <c r="T19" t="s">
        <v>61</v>
      </c>
      <c r="U19" t="s">
        <v>63</v>
      </c>
      <c r="V19" t="s">
        <v>287</v>
      </c>
      <c r="W19">
        <v>30</v>
      </c>
      <c r="X19">
        <v>0</v>
      </c>
      <c r="Y19">
        <v>0</v>
      </c>
      <c r="Z19">
        <v>5</v>
      </c>
      <c r="AA19">
        <v>1</v>
      </c>
      <c r="AB19">
        <v>0</v>
      </c>
      <c r="AC19">
        <v>10</v>
      </c>
      <c r="AD19">
        <v>100</v>
      </c>
      <c r="AE19">
        <v>80</v>
      </c>
      <c r="AF19">
        <v>0</v>
      </c>
      <c r="AG19">
        <v>0</v>
      </c>
      <c r="AH19" t="s">
        <v>61</v>
      </c>
    </row>
    <row r="20" spans="1:34" x14ac:dyDescent="0.25">
      <c r="A20" t="s">
        <v>303</v>
      </c>
      <c r="B20">
        <v>1</v>
      </c>
      <c r="C20">
        <v>300</v>
      </c>
      <c r="D20">
        <v>175</v>
      </c>
      <c r="E20">
        <v>7000</v>
      </c>
      <c r="F20">
        <v>50</v>
      </c>
      <c r="G20" t="s">
        <v>143</v>
      </c>
      <c r="K20" t="s">
        <v>61</v>
      </c>
      <c r="M20" t="s">
        <v>61</v>
      </c>
      <c r="N20" t="s">
        <v>61</v>
      </c>
      <c r="O20" t="s">
        <v>61</v>
      </c>
      <c r="P20">
        <v>1</v>
      </c>
      <c r="Q20">
        <v>20</v>
      </c>
      <c r="R20">
        <v>4</v>
      </c>
      <c r="S20">
        <v>4</v>
      </c>
      <c r="T20" t="s">
        <v>284</v>
      </c>
      <c r="U20" t="s">
        <v>62</v>
      </c>
      <c r="V20" t="s">
        <v>287</v>
      </c>
      <c r="W20">
        <v>20</v>
      </c>
      <c r="X20">
        <v>36</v>
      </c>
      <c r="Y20">
        <v>120</v>
      </c>
      <c r="Z20">
        <v>24</v>
      </c>
      <c r="AA20">
        <v>0</v>
      </c>
      <c r="AB20">
        <v>20</v>
      </c>
      <c r="AC20">
        <v>1</v>
      </c>
      <c r="AD20">
        <v>100</v>
      </c>
      <c r="AE20">
        <v>0</v>
      </c>
      <c r="AF20">
        <v>0</v>
      </c>
      <c r="AG20">
        <v>0</v>
      </c>
      <c r="AH20" t="s">
        <v>284</v>
      </c>
    </row>
    <row r="21" spans="1:34" x14ac:dyDescent="0.25">
      <c r="A21" t="s">
        <v>304</v>
      </c>
      <c r="B21">
        <v>2</v>
      </c>
      <c r="C21">
        <v>250</v>
      </c>
      <c r="D21">
        <v>220</v>
      </c>
      <c r="E21">
        <v>4000</v>
      </c>
      <c r="F21">
        <v>30</v>
      </c>
      <c r="G21">
        <v>24</v>
      </c>
      <c r="H21" t="s">
        <v>61</v>
      </c>
      <c r="I21" t="s">
        <v>61</v>
      </c>
      <c r="J21" t="s">
        <v>61</v>
      </c>
      <c r="M21" t="s">
        <v>61</v>
      </c>
      <c r="N21" t="s">
        <v>61</v>
      </c>
      <c r="O21" t="s">
        <v>61</v>
      </c>
      <c r="P21">
        <v>3</v>
      </c>
      <c r="Q21">
        <v>15</v>
      </c>
      <c r="R21">
        <v>3</v>
      </c>
      <c r="S21" t="s">
        <v>290</v>
      </c>
      <c r="T21" t="s">
        <v>284</v>
      </c>
      <c r="U21" t="s">
        <v>63</v>
      </c>
      <c r="V21" t="s">
        <v>285</v>
      </c>
      <c r="W21">
        <v>10</v>
      </c>
      <c r="X21">
        <v>0</v>
      </c>
      <c r="Y21">
        <v>0</v>
      </c>
      <c r="Z21">
        <v>10</v>
      </c>
      <c r="AA21">
        <v>0</v>
      </c>
      <c r="AB21">
        <v>0</v>
      </c>
      <c r="AC21">
        <v>3</v>
      </c>
      <c r="AD21">
        <v>100</v>
      </c>
      <c r="AE21">
        <v>0</v>
      </c>
      <c r="AF21">
        <v>0</v>
      </c>
      <c r="AG21">
        <v>0</v>
      </c>
      <c r="AH21" t="s">
        <v>61</v>
      </c>
    </row>
    <row r="22" spans="1:34" x14ac:dyDescent="0.25">
      <c r="A22" t="s">
        <v>305</v>
      </c>
      <c r="B22">
        <v>2</v>
      </c>
      <c r="C22">
        <v>300</v>
      </c>
      <c r="D22">
        <v>180</v>
      </c>
      <c r="E22">
        <v>6500</v>
      </c>
      <c r="F22">
        <v>55</v>
      </c>
      <c r="G22" t="s">
        <v>143</v>
      </c>
      <c r="K22" t="s">
        <v>61</v>
      </c>
      <c r="M22" t="s">
        <v>61</v>
      </c>
      <c r="N22" t="s">
        <v>61</v>
      </c>
      <c r="O22" t="s">
        <v>61</v>
      </c>
      <c r="P22">
        <v>1</v>
      </c>
      <c r="Q22">
        <v>20</v>
      </c>
      <c r="R22">
        <v>4</v>
      </c>
      <c r="S22">
        <v>5</v>
      </c>
      <c r="T22" t="s">
        <v>284</v>
      </c>
      <c r="U22" t="s">
        <v>62</v>
      </c>
      <c r="V22" t="s">
        <v>287</v>
      </c>
      <c r="W22">
        <v>15</v>
      </c>
      <c r="X22">
        <v>36</v>
      </c>
      <c r="Y22">
        <v>120</v>
      </c>
      <c r="Z22">
        <v>48</v>
      </c>
      <c r="AA22">
        <v>0</v>
      </c>
      <c r="AB22">
        <v>40</v>
      </c>
      <c r="AC22">
        <v>1</v>
      </c>
      <c r="AD22">
        <v>100</v>
      </c>
      <c r="AE22">
        <v>0</v>
      </c>
      <c r="AF22">
        <v>0</v>
      </c>
      <c r="AG22">
        <v>0</v>
      </c>
      <c r="AH22" t="s">
        <v>284</v>
      </c>
    </row>
    <row r="23" spans="1:34" x14ac:dyDescent="0.25">
      <c r="A23" t="s">
        <v>306</v>
      </c>
      <c r="B23">
        <v>2</v>
      </c>
      <c r="C23">
        <v>300</v>
      </c>
      <c r="D23">
        <v>60</v>
      </c>
      <c r="E23">
        <v>2000</v>
      </c>
      <c r="F23">
        <v>55</v>
      </c>
      <c r="G23" t="s">
        <v>143</v>
      </c>
      <c r="H23" t="s">
        <v>61</v>
      </c>
      <c r="I23" t="s">
        <v>61</v>
      </c>
      <c r="J23" t="s">
        <v>61</v>
      </c>
      <c r="K23" t="s">
        <v>61</v>
      </c>
      <c r="M23" t="s">
        <v>61</v>
      </c>
      <c r="N23" t="s">
        <v>61</v>
      </c>
      <c r="O23" t="s">
        <v>61</v>
      </c>
      <c r="P23">
        <v>1</v>
      </c>
      <c r="Q23">
        <v>10</v>
      </c>
      <c r="R23">
        <v>2</v>
      </c>
      <c r="S23">
        <v>2</v>
      </c>
      <c r="T23" t="s">
        <v>284</v>
      </c>
      <c r="U23" t="s">
        <v>62</v>
      </c>
      <c r="V23" t="s">
        <v>287</v>
      </c>
      <c r="W23">
        <v>15</v>
      </c>
      <c r="X23">
        <v>18</v>
      </c>
      <c r="Y23">
        <v>50</v>
      </c>
      <c r="Z23">
        <v>20</v>
      </c>
      <c r="AA23">
        <v>0</v>
      </c>
      <c r="AB23">
        <v>40</v>
      </c>
      <c r="AC23">
        <v>1</v>
      </c>
      <c r="AD23">
        <v>100</v>
      </c>
      <c r="AE23">
        <v>0</v>
      </c>
      <c r="AF23">
        <v>0</v>
      </c>
      <c r="AG23">
        <v>0</v>
      </c>
      <c r="AH23" t="s">
        <v>284</v>
      </c>
    </row>
    <row r="24" spans="1:34" x14ac:dyDescent="0.25">
      <c r="A24" t="s">
        <v>307</v>
      </c>
      <c r="B24">
        <v>2</v>
      </c>
      <c r="C24">
        <v>400</v>
      </c>
      <c r="D24">
        <v>250</v>
      </c>
      <c r="E24">
        <v>9000</v>
      </c>
      <c r="F24">
        <v>55</v>
      </c>
      <c r="G24" t="s">
        <v>143</v>
      </c>
      <c r="M24" t="s">
        <v>61</v>
      </c>
      <c r="N24" t="s">
        <v>61</v>
      </c>
      <c r="O24" t="s">
        <v>61</v>
      </c>
      <c r="P24">
        <v>1</v>
      </c>
      <c r="Q24">
        <v>15</v>
      </c>
      <c r="R24">
        <v>4</v>
      </c>
      <c r="S24">
        <v>4</v>
      </c>
      <c r="T24" t="s">
        <v>284</v>
      </c>
      <c r="U24" t="s">
        <v>62</v>
      </c>
      <c r="V24" t="s">
        <v>287</v>
      </c>
      <c r="W24">
        <v>15</v>
      </c>
      <c r="X24">
        <v>48</v>
      </c>
      <c r="Y24">
        <v>180</v>
      </c>
      <c r="Z24">
        <v>72</v>
      </c>
      <c r="AA24">
        <v>0</v>
      </c>
      <c r="AB24">
        <v>40</v>
      </c>
      <c r="AC24">
        <v>1</v>
      </c>
      <c r="AD24">
        <v>100</v>
      </c>
      <c r="AE24">
        <v>0</v>
      </c>
      <c r="AF24">
        <v>0</v>
      </c>
      <c r="AG24">
        <v>0</v>
      </c>
      <c r="AH24" t="s">
        <v>284</v>
      </c>
    </row>
    <row r="25" spans="1:34" x14ac:dyDescent="0.25">
      <c r="A25" t="s">
        <v>308</v>
      </c>
      <c r="B25">
        <v>3</v>
      </c>
      <c r="C25">
        <v>500</v>
      </c>
      <c r="D25">
        <v>75</v>
      </c>
      <c r="E25">
        <v>3300</v>
      </c>
      <c r="F25">
        <v>55</v>
      </c>
      <c r="G25" t="s">
        <v>143</v>
      </c>
      <c r="H25" t="s">
        <v>61</v>
      </c>
      <c r="I25" t="s">
        <v>61</v>
      </c>
      <c r="J25" t="s">
        <v>61</v>
      </c>
      <c r="K25" t="s">
        <v>61</v>
      </c>
      <c r="M25" t="s">
        <v>61</v>
      </c>
      <c r="N25" t="s">
        <v>61</v>
      </c>
      <c r="O25" t="s">
        <v>61</v>
      </c>
      <c r="P25">
        <v>3</v>
      </c>
      <c r="Q25">
        <v>2</v>
      </c>
      <c r="R25">
        <v>1</v>
      </c>
      <c r="S25">
        <v>1</v>
      </c>
      <c r="T25" t="s">
        <v>284</v>
      </c>
      <c r="U25" t="s">
        <v>66</v>
      </c>
      <c r="V25" t="s">
        <v>287</v>
      </c>
      <c r="W25">
        <v>5</v>
      </c>
      <c r="X25">
        <v>10</v>
      </c>
      <c r="Y25">
        <v>0</v>
      </c>
      <c r="Z25">
        <v>20</v>
      </c>
      <c r="AA25">
        <v>20</v>
      </c>
      <c r="AB25">
        <v>0</v>
      </c>
      <c r="AC25">
        <v>1</v>
      </c>
      <c r="AD25">
        <v>100</v>
      </c>
      <c r="AE25">
        <v>0</v>
      </c>
      <c r="AF25">
        <v>0</v>
      </c>
      <c r="AG25">
        <v>0</v>
      </c>
      <c r="AH25" t="s">
        <v>284</v>
      </c>
    </row>
    <row r="26" spans="1:34" x14ac:dyDescent="0.25">
      <c r="A26" t="s">
        <v>309</v>
      </c>
      <c r="B26">
        <v>3</v>
      </c>
      <c r="C26">
        <v>100</v>
      </c>
      <c r="D26">
        <v>250</v>
      </c>
      <c r="E26">
        <v>6000</v>
      </c>
      <c r="F26">
        <v>60</v>
      </c>
      <c r="G26" t="s">
        <v>143</v>
      </c>
      <c r="M26" t="s">
        <v>61</v>
      </c>
      <c r="N26" t="s">
        <v>61</v>
      </c>
      <c r="O26" t="s">
        <v>61</v>
      </c>
      <c r="P26">
        <v>1</v>
      </c>
      <c r="Q26">
        <v>9</v>
      </c>
      <c r="R26">
        <v>2</v>
      </c>
      <c r="S26">
        <v>3</v>
      </c>
      <c r="T26" t="s">
        <v>284</v>
      </c>
      <c r="U26" t="s">
        <v>65</v>
      </c>
      <c r="V26" t="s">
        <v>287</v>
      </c>
      <c r="W26">
        <v>20</v>
      </c>
      <c r="X26">
        <v>75</v>
      </c>
      <c r="Y26">
        <v>60</v>
      </c>
      <c r="Z26">
        <v>30</v>
      </c>
      <c r="AA26">
        <v>0</v>
      </c>
      <c r="AB26">
        <v>50</v>
      </c>
      <c r="AC26">
        <v>5</v>
      </c>
      <c r="AD26">
        <v>100</v>
      </c>
      <c r="AE26">
        <v>0</v>
      </c>
      <c r="AF26">
        <v>0</v>
      </c>
      <c r="AG26">
        <v>0</v>
      </c>
      <c r="AH26" t="s">
        <v>284</v>
      </c>
    </row>
    <row r="27" spans="1:34" x14ac:dyDescent="0.25">
      <c r="A27" t="s">
        <v>310</v>
      </c>
      <c r="B27">
        <v>3</v>
      </c>
      <c r="C27">
        <v>120</v>
      </c>
      <c r="D27">
        <v>150</v>
      </c>
      <c r="E27">
        <v>4000</v>
      </c>
      <c r="F27">
        <v>60</v>
      </c>
      <c r="G27" t="s">
        <v>143</v>
      </c>
      <c r="K27" t="s">
        <v>61</v>
      </c>
      <c r="M27" t="s">
        <v>61</v>
      </c>
      <c r="N27" t="s">
        <v>61</v>
      </c>
      <c r="O27" t="s">
        <v>61</v>
      </c>
      <c r="P27">
        <v>1</v>
      </c>
      <c r="Q27">
        <v>9</v>
      </c>
      <c r="R27">
        <v>2</v>
      </c>
      <c r="S27">
        <v>3</v>
      </c>
      <c r="T27" t="s">
        <v>284</v>
      </c>
      <c r="U27" t="s">
        <v>65</v>
      </c>
      <c r="V27" t="s">
        <v>287</v>
      </c>
      <c r="W27">
        <v>20</v>
      </c>
      <c r="X27">
        <v>50</v>
      </c>
      <c r="Y27">
        <v>30</v>
      </c>
      <c r="Z27">
        <v>15</v>
      </c>
      <c r="AA27">
        <v>0</v>
      </c>
      <c r="AB27">
        <v>50</v>
      </c>
      <c r="AC27">
        <v>5</v>
      </c>
      <c r="AD27">
        <v>100</v>
      </c>
      <c r="AE27">
        <v>0</v>
      </c>
      <c r="AF27">
        <v>0</v>
      </c>
      <c r="AG27">
        <v>0</v>
      </c>
      <c r="AH27" t="s">
        <v>284</v>
      </c>
    </row>
    <row r="28" spans="1:34" x14ac:dyDescent="0.25">
      <c r="A28" t="s">
        <v>311</v>
      </c>
      <c r="B28">
        <v>3</v>
      </c>
      <c r="C28">
        <v>300</v>
      </c>
      <c r="D28">
        <v>400</v>
      </c>
      <c r="E28">
        <v>3000</v>
      </c>
      <c r="F28">
        <v>20</v>
      </c>
      <c r="G28">
        <v>8</v>
      </c>
      <c r="J28" t="s">
        <v>61</v>
      </c>
      <c r="M28" t="s">
        <v>61</v>
      </c>
      <c r="N28" t="s">
        <v>61</v>
      </c>
      <c r="O28" t="s">
        <v>61</v>
      </c>
      <c r="P28">
        <v>1</v>
      </c>
      <c r="Q28">
        <v>30</v>
      </c>
      <c r="R28">
        <v>6</v>
      </c>
      <c r="S28" t="s">
        <v>290</v>
      </c>
      <c r="T28" t="s">
        <v>61</v>
      </c>
      <c r="U28" t="s">
        <v>63</v>
      </c>
      <c r="V28" t="s">
        <v>285</v>
      </c>
      <c r="W28">
        <v>30</v>
      </c>
      <c r="X28">
        <v>0</v>
      </c>
      <c r="Y28">
        <v>0</v>
      </c>
      <c r="Z28">
        <v>50</v>
      </c>
      <c r="AA28">
        <v>5</v>
      </c>
      <c r="AB28">
        <v>0</v>
      </c>
      <c r="AC28">
        <v>2</v>
      </c>
      <c r="AD28">
        <v>100</v>
      </c>
      <c r="AE28">
        <v>0</v>
      </c>
      <c r="AF28">
        <v>0</v>
      </c>
      <c r="AG28">
        <v>0</v>
      </c>
      <c r="AH28" t="s">
        <v>61</v>
      </c>
    </row>
    <row r="29" spans="1:34" x14ac:dyDescent="0.25">
      <c r="A29" t="s">
        <v>312</v>
      </c>
      <c r="B29">
        <v>4</v>
      </c>
      <c r="C29">
        <v>20</v>
      </c>
      <c r="D29">
        <v>400</v>
      </c>
      <c r="E29">
        <v>7000</v>
      </c>
      <c r="F29">
        <v>50</v>
      </c>
      <c r="G29">
        <v>15</v>
      </c>
      <c r="L29" t="s">
        <v>61</v>
      </c>
      <c r="O29" t="s">
        <v>61</v>
      </c>
      <c r="P29">
        <v>1</v>
      </c>
      <c r="Q29">
        <v>20</v>
      </c>
      <c r="R29">
        <v>10</v>
      </c>
      <c r="S29">
        <v>10</v>
      </c>
      <c r="T29" t="s">
        <v>284</v>
      </c>
      <c r="U29" t="s">
        <v>64</v>
      </c>
      <c r="V29" t="s">
        <v>285</v>
      </c>
      <c r="W29">
        <v>10</v>
      </c>
      <c r="X29">
        <v>0</v>
      </c>
      <c r="Y29">
        <v>0</v>
      </c>
      <c r="Z29">
        <v>140</v>
      </c>
      <c r="AA29">
        <v>35</v>
      </c>
      <c r="AB29">
        <v>0</v>
      </c>
      <c r="AC29">
        <v>1</v>
      </c>
      <c r="AD29">
        <v>100</v>
      </c>
      <c r="AE29">
        <v>0</v>
      </c>
      <c r="AF29">
        <v>0</v>
      </c>
      <c r="AG29">
        <v>0</v>
      </c>
      <c r="AH29" t="s">
        <v>284</v>
      </c>
    </row>
    <row r="30" spans="1:34" x14ac:dyDescent="0.25">
      <c r="A30" t="s">
        <v>313</v>
      </c>
      <c r="B30">
        <v>4</v>
      </c>
      <c r="C30">
        <v>150</v>
      </c>
      <c r="D30">
        <v>250</v>
      </c>
      <c r="E30">
        <v>7700</v>
      </c>
      <c r="F30">
        <v>30</v>
      </c>
      <c r="G30">
        <v>10</v>
      </c>
      <c r="L30" t="s">
        <v>61</v>
      </c>
      <c r="O30" t="s">
        <v>61</v>
      </c>
      <c r="P30">
        <v>1</v>
      </c>
      <c r="Q30">
        <v>12</v>
      </c>
      <c r="R30">
        <v>3</v>
      </c>
      <c r="S30" t="s">
        <v>290</v>
      </c>
      <c r="T30" t="s">
        <v>61</v>
      </c>
      <c r="U30" t="s">
        <v>64</v>
      </c>
      <c r="V30" t="s">
        <v>287</v>
      </c>
      <c r="W30">
        <v>0</v>
      </c>
      <c r="X30">
        <v>0</v>
      </c>
      <c r="Y30">
        <v>0</v>
      </c>
      <c r="Z30">
        <v>10</v>
      </c>
      <c r="AA30">
        <v>1</v>
      </c>
      <c r="AB30">
        <v>0</v>
      </c>
      <c r="AC30">
        <v>12</v>
      </c>
      <c r="AD30">
        <v>100</v>
      </c>
      <c r="AE30">
        <v>80</v>
      </c>
      <c r="AF30">
        <v>0</v>
      </c>
      <c r="AG30">
        <v>0</v>
      </c>
      <c r="AH30" t="s">
        <v>284</v>
      </c>
    </row>
    <row r="31" spans="1:34" x14ac:dyDescent="0.25">
      <c r="A31" t="s">
        <v>314</v>
      </c>
      <c r="B31">
        <v>4</v>
      </c>
      <c r="C31">
        <v>150</v>
      </c>
      <c r="D31">
        <v>150</v>
      </c>
      <c r="E31">
        <v>5250</v>
      </c>
      <c r="F31">
        <v>50</v>
      </c>
      <c r="G31">
        <v>30</v>
      </c>
      <c r="I31" t="s">
        <v>61</v>
      </c>
      <c r="J31" t="s">
        <v>61</v>
      </c>
      <c r="K31" t="s">
        <v>61</v>
      </c>
      <c r="L31" t="s">
        <v>61</v>
      </c>
      <c r="O31" t="s">
        <v>61</v>
      </c>
      <c r="P31">
        <v>3</v>
      </c>
      <c r="Q31">
        <v>10</v>
      </c>
      <c r="R31">
        <v>2</v>
      </c>
      <c r="S31">
        <v>5</v>
      </c>
      <c r="T31" t="s">
        <v>284</v>
      </c>
      <c r="U31" t="s">
        <v>64</v>
      </c>
      <c r="V31" t="s">
        <v>285</v>
      </c>
      <c r="W31">
        <v>20</v>
      </c>
      <c r="X31">
        <v>0</v>
      </c>
      <c r="Y31">
        <v>0</v>
      </c>
      <c r="Z31">
        <v>8</v>
      </c>
      <c r="AA31">
        <v>1</v>
      </c>
      <c r="AB31">
        <v>0</v>
      </c>
      <c r="AC31">
        <v>4</v>
      </c>
      <c r="AD31">
        <v>100</v>
      </c>
      <c r="AE31">
        <v>0</v>
      </c>
      <c r="AF31">
        <v>0</v>
      </c>
      <c r="AG31">
        <v>0</v>
      </c>
      <c r="AH31" t="s">
        <v>284</v>
      </c>
    </row>
    <row r="32" spans="1:34" x14ac:dyDescent="0.25">
      <c r="A32" t="s">
        <v>315</v>
      </c>
      <c r="B32">
        <v>4</v>
      </c>
      <c r="C32">
        <v>300</v>
      </c>
      <c r="D32">
        <v>120</v>
      </c>
      <c r="E32">
        <v>6000</v>
      </c>
      <c r="F32">
        <v>60</v>
      </c>
      <c r="G32" t="s">
        <v>143</v>
      </c>
      <c r="K32" t="s">
        <v>61</v>
      </c>
      <c r="M32" t="s">
        <v>61</v>
      </c>
      <c r="N32" t="s">
        <v>61</v>
      </c>
      <c r="O32" t="s">
        <v>61</v>
      </c>
      <c r="P32">
        <v>1</v>
      </c>
      <c r="Q32">
        <v>15</v>
      </c>
      <c r="R32">
        <v>3</v>
      </c>
      <c r="S32">
        <v>5</v>
      </c>
      <c r="T32" t="s">
        <v>284</v>
      </c>
      <c r="U32" t="s">
        <v>374</v>
      </c>
      <c r="V32" t="s">
        <v>287</v>
      </c>
      <c r="W32">
        <v>30</v>
      </c>
      <c r="X32">
        <v>36</v>
      </c>
      <c r="Y32">
        <v>250</v>
      </c>
      <c r="Z32">
        <v>0</v>
      </c>
      <c r="AA32">
        <v>0</v>
      </c>
      <c r="AB32">
        <v>0</v>
      </c>
      <c r="AC32">
        <v>1</v>
      </c>
      <c r="AD32">
        <v>100</v>
      </c>
      <c r="AE32">
        <v>0</v>
      </c>
      <c r="AF32">
        <v>0</v>
      </c>
      <c r="AG32">
        <v>0</v>
      </c>
      <c r="AH32" t="s">
        <v>284</v>
      </c>
    </row>
    <row r="33" spans="1:34" x14ac:dyDescent="0.25">
      <c r="A33" t="s">
        <v>316</v>
      </c>
      <c r="B33">
        <v>4</v>
      </c>
      <c r="C33">
        <v>250</v>
      </c>
      <c r="D33">
        <v>320</v>
      </c>
      <c r="E33">
        <v>6250</v>
      </c>
      <c r="F33">
        <v>20</v>
      </c>
      <c r="G33">
        <v>6</v>
      </c>
      <c r="J33" t="s">
        <v>61</v>
      </c>
      <c r="M33" t="s">
        <v>61</v>
      </c>
      <c r="N33" t="s">
        <v>61</v>
      </c>
      <c r="O33" t="s">
        <v>61</v>
      </c>
      <c r="P33">
        <v>1</v>
      </c>
      <c r="Q33">
        <v>30</v>
      </c>
      <c r="R33">
        <v>6</v>
      </c>
      <c r="S33" t="s">
        <v>290</v>
      </c>
      <c r="T33" t="s">
        <v>61</v>
      </c>
      <c r="U33" t="s">
        <v>63</v>
      </c>
      <c r="V33" t="s">
        <v>287</v>
      </c>
      <c r="W33">
        <v>30</v>
      </c>
      <c r="X33">
        <v>0</v>
      </c>
      <c r="Y33">
        <v>0</v>
      </c>
      <c r="Z33">
        <v>25</v>
      </c>
      <c r="AA33">
        <v>3</v>
      </c>
      <c r="AB33">
        <v>0</v>
      </c>
      <c r="AC33">
        <v>2</v>
      </c>
      <c r="AD33">
        <v>100</v>
      </c>
      <c r="AE33">
        <v>80</v>
      </c>
      <c r="AF33">
        <v>80</v>
      </c>
      <c r="AG33">
        <v>0</v>
      </c>
      <c r="AH33" t="s">
        <v>61</v>
      </c>
    </row>
    <row r="34" spans="1:34" x14ac:dyDescent="0.25">
      <c r="A34" t="s">
        <v>317</v>
      </c>
      <c r="B34">
        <v>4</v>
      </c>
      <c r="C34">
        <v>300</v>
      </c>
      <c r="D34">
        <v>150</v>
      </c>
      <c r="E34">
        <v>6000</v>
      </c>
      <c r="F34">
        <v>60</v>
      </c>
      <c r="G34" t="s">
        <v>143</v>
      </c>
      <c r="K34" t="s">
        <v>61</v>
      </c>
      <c r="M34" t="s">
        <v>61</v>
      </c>
      <c r="N34" t="s">
        <v>61</v>
      </c>
      <c r="O34" t="s">
        <v>61</v>
      </c>
      <c r="P34">
        <v>1</v>
      </c>
      <c r="Q34">
        <v>13</v>
      </c>
      <c r="R34">
        <v>3</v>
      </c>
      <c r="S34">
        <v>4</v>
      </c>
      <c r="T34" t="s">
        <v>284</v>
      </c>
      <c r="U34" t="s">
        <v>374</v>
      </c>
      <c r="V34" t="s">
        <v>287</v>
      </c>
      <c r="W34">
        <v>20</v>
      </c>
      <c r="X34">
        <v>40</v>
      </c>
      <c r="Y34">
        <v>100</v>
      </c>
      <c r="Z34">
        <v>100</v>
      </c>
      <c r="AA34">
        <v>0</v>
      </c>
      <c r="AB34">
        <v>100</v>
      </c>
      <c r="AC34">
        <v>1</v>
      </c>
      <c r="AD34">
        <v>100</v>
      </c>
      <c r="AE34">
        <v>0</v>
      </c>
      <c r="AF34">
        <v>0</v>
      </c>
      <c r="AG34">
        <v>0</v>
      </c>
      <c r="AH34" t="s">
        <v>284</v>
      </c>
    </row>
    <row r="35" spans="1:34" x14ac:dyDescent="0.25">
      <c r="A35" t="s">
        <v>318</v>
      </c>
      <c r="B35">
        <v>5</v>
      </c>
      <c r="C35">
        <v>500</v>
      </c>
      <c r="D35">
        <v>155</v>
      </c>
      <c r="E35">
        <v>5000</v>
      </c>
      <c r="F35">
        <v>50</v>
      </c>
      <c r="G35" t="s">
        <v>143</v>
      </c>
      <c r="H35" t="s">
        <v>61</v>
      </c>
      <c r="I35" t="s">
        <v>61</v>
      </c>
      <c r="J35" t="s">
        <v>61</v>
      </c>
      <c r="K35" t="s">
        <v>61</v>
      </c>
      <c r="M35" t="s">
        <v>61</v>
      </c>
      <c r="N35" t="s">
        <v>61</v>
      </c>
      <c r="O35" t="s">
        <v>61</v>
      </c>
      <c r="P35">
        <v>4</v>
      </c>
      <c r="Q35">
        <v>2</v>
      </c>
      <c r="R35">
        <v>1</v>
      </c>
      <c r="S35">
        <v>1</v>
      </c>
      <c r="T35" t="s">
        <v>284</v>
      </c>
      <c r="U35" t="s">
        <v>66</v>
      </c>
      <c r="V35" t="s">
        <v>287</v>
      </c>
      <c r="W35">
        <v>5</v>
      </c>
      <c r="X35">
        <v>10</v>
      </c>
      <c r="Y35">
        <v>0</v>
      </c>
      <c r="Z35">
        <v>25</v>
      </c>
      <c r="AA35">
        <v>25</v>
      </c>
      <c r="AB35">
        <v>0</v>
      </c>
      <c r="AC35">
        <v>1</v>
      </c>
      <c r="AD35">
        <v>100</v>
      </c>
      <c r="AE35">
        <v>0</v>
      </c>
      <c r="AF35">
        <v>0</v>
      </c>
      <c r="AG35">
        <v>0</v>
      </c>
      <c r="AH35" t="s">
        <v>284</v>
      </c>
    </row>
    <row r="36" spans="1:34" x14ac:dyDescent="0.25">
      <c r="A36" t="s">
        <v>319</v>
      </c>
      <c r="B36">
        <v>5</v>
      </c>
      <c r="C36">
        <v>260</v>
      </c>
      <c r="D36">
        <v>700</v>
      </c>
      <c r="E36">
        <v>6000</v>
      </c>
      <c r="F36">
        <v>70</v>
      </c>
      <c r="G36" t="s">
        <v>143</v>
      </c>
      <c r="L36" t="s">
        <v>61</v>
      </c>
      <c r="O36" t="s">
        <v>61</v>
      </c>
      <c r="P36">
        <v>1</v>
      </c>
      <c r="Q36">
        <v>20</v>
      </c>
      <c r="R36">
        <v>5</v>
      </c>
      <c r="S36">
        <v>10</v>
      </c>
      <c r="T36" t="s">
        <v>284</v>
      </c>
      <c r="U36" t="s">
        <v>374</v>
      </c>
      <c r="V36" t="s">
        <v>285</v>
      </c>
      <c r="W36">
        <v>15</v>
      </c>
      <c r="X36">
        <v>33</v>
      </c>
      <c r="Y36">
        <v>12</v>
      </c>
      <c r="Z36">
        <v>60</v>
      </c>
      <c r="AA36">
        <v>0</v>
      </c>
      <c r="AB36">
        <v>100</v>
      </c>
      <c r="AC36">
        <v>3</v>
      </c>
      <c r="AD36">
        <v>100</v>
      </c>
      <c r="AE36">
        <v>0</v>
      </c>
      <c r="AF36">
        <v>0</v>
      </c>
      <c r="AG36">
        <v>0</v>
      </c>
      <c r="AH36" t="s">
        <v>284</v>
      </c>
    </row>
    <row r="37" spans="1:34" x14ac:dyDescent="0.25">
      <c r="A37" t="s">
        <v>320</v>
      </c>
      <c r="B37">
        <v>5</v>
      </c>
      <c r="C37">
        <v>300</v>
      </c>
      <c r="D37">
        <v>96</v>
      </c>
      <c r="E37">
        <v>1500</v>
      </c>
      <c r="F37">
        <v>70</v>
      </c>
      <c r="G37" t="s">
        <v>143</v>
      </c>
      <c r="I37" t="s">
        <v>61</v>
      </c>
      <c r="J37" t="s">
        <v>61</v>
      </c>
      <c r="K37" t="s">
        <v>61</v>
      </c>
      <c r="L37" t="s">
        <v>61</v>
      </c>
      <c r="O37" t="s">
        <v>61</v>
      </c>
      <c r="P37">
        <v>1</v>
      </c>
      <c r="Q37">
        <v>20</v>
      </c>
      <c r="R37">
        <v>5</v>
      </c>
      <c r="S37">
        <v>10</v>
      </c>
      <c r="T37" t="s">
        <v>284</v>
      </c>
      <c r="U37" t="s">
        <v>374</v>
      </c>
      <c r="V37" t="s">
        <v>285</v>
      </c>
      <c r="W37">
        <v>15</v>
      </c>
      <c r="X37">
        <v>18</v>
      </c>
      <c r="Y37">
        <v>5</v>
      </c>
      <c r="Z37">
        <v>25</v>
      </c>
      <c r="AA37">
        <v>0</v>
      </c>
      <c r="AB37">
        <v>100</v>
      </c>
      <c r="AC37">
        <v>3</v>
      </c>
      <c r="AD37">
        <v>100</v>
      </c>
      <c r="AE37">
        <v>0</v>
      </c>
      <c r="AF37">
        <v>0</v>
      </c>
      <c r="AG37">
        <v>0</v>
      </c>
      <c r="AH37" t="s">
        <v>284</v>
      </c>
    </row>
    <row r="38" spans="1:34" x14ac:dyDescent="0.25">
      <c r="A38" t="s">
        <v>321</v>
      </c>
      <c r="B38">
        <v>5</v>
      </c>
      <c r="C38">
        <v>280</v>
      </c>
      <c r="D38">
        <v>175</v>
      </c>
      <c r="E38">
        <v>4000</v>
      </c>
      <c r="F38">
        <v>70</v>
      </c>
      <c r="G38" t="s">
        <v>143</v>
      </c>
      <c r="L38" t="s">
        <v>61</v>
      </c>
      <c r="O38" t="s">
        <v>61</v>
      </c>
      <c r="P38">
        <v>1</v>
      </c>
      <c r="Q38">
        <v>20</v>
      </c>
      <c r="R38">
        <v>5</v>
      </c>
      <c r="S38">
        <v>10</v>
      </c>
      <c r="T38" t="s">
        <v>284</v>
      </c>
      <c r="U38" t="s">
        <v>374</v>
      </c>
      <c r="V38" t="s">
        <v>285</v>
      </c>
      <c r="W38">
        <v>15</v>
      </c>
      <c r="X38">
        <v>24</v>
      </c>
      <c r="Y38">
        <v>8</v>
      </c>
      <c r="Z38">
        <v>40</v>
      </c>
      <c r="AA38">
        <v>0</v>
      </c>
      <c r="AB38">
        <v>100</v>
      </c>
      <c r="AC38">
        <v>3</v>
      </c>
      <c r="AD38">
        <v>100</v>
      </c>
      <c r="AE38">
        <v>0</v>
      </c>
      <c r="AF38">
        <v>0</v>
      </c>
      <c r="AG38">
        <v>0</v>
      </c>
      <c r="AH38" t="s">
        <v>284</v>
      </c>
    </row>
    <row r="39" spans="1:34" x14ac:dyDescent="0.25">
      <c r="A39" t="s">
        <v>322</v>
      </c>
      <c r="B39">
        <v>6</v>
      </c>
      <c r="C39">
        <v>150</v>
      </c>
      <c r="D39">
        <v>210</v>
      </c>
      <c r="E39">
        <v>6500</v>
      </c>
      <c r="F39">
        <v>65</v>
      </c>
      <c r="G39">
        <v>20</v>
      </c>
      <c r="I39" t="s">
        <v>61</v>
      </c>
      <c r="J39" t="s">
        <v>61</v>
      </c>
      <c r="K39" t="s">
        <v>61</v>
      </c>
      <c r="L39" t="s">
        <v>61</v>
      </c>
      <c r="O39" t="s">
        <v>61</v>
      </c>
      <c r="P39">
        <v>2</v>
      </c>
      <c r="Q39">
        <v>12</v>
      </c>
      <c r="R39">
        <v>3</v>
      </c>
      <c r="S39">
        <v>5</v>
      </c>
      <c r="T39" t="s">
        <v>284</v>
      </c>
      <c r="U39" t="s">
        <v>64</v>
      </c>
      <c r="V39" t="s">
        <v>287</v>
      </c>
      <c r="W39">
        <v>15</v>
      </c>
      <c r="X39">
        <v>18</v>
      </c>
      <c r="Y39">
        <v>5</v>
      </c>
      <c r="Z39">
        <v>25</v>
      </c>
      <c r="AA39">
        <v>5</v>
      </c>
      <c r="AB39">
        <v>100</v>
      </c>
      <c r="AC39">
        <v>3</v>
      </c>
      <c r="AD39">
        <v>100</v>
      </c>
      <c r="AE39">
        <v>0</v>
      </c>
      <c r="AF39">
        <v>0</v>
      </c>
      <c r="AG39">
        <v>0</v>
      </c>
      <c r="AH39" t="s">
        <v>284</v>
      </c>
    </row>
    <row r="40" spans="1:34" x14ac:dyDescent="0.25">
      <c r="A40" t="s">
        <v>323</v>
      </c>
      <c r="B40">
        <v>6</v>
      </c>
      <c r="C40">
        <v>240</v>
      </c>
      <c r="D40">
        <v>550</v>
      </c>
      <c r="E40">
        <v>10000</v>
      </c>
      <c r="F40">
        <v>70</v>
      </c>
      <c r="G40" t="s">
        <v>143</v>
      </c>
      <c r="L40" t="s">
        <v>61</v>
      </c>
      <c r="O40" t="s">
        <v>61</v>
      </c>
      <c r="P40">
        <v>1</v>
      </c>
      <c r="Q40">
        <v>20</v>
      </c>
      <c r="R40">
        <v>5</v>
      </c>
      <c r="S40">
        <v>10</v>
      </c>
      <c r="T40" t="s">
        <v>284</v>
      </c>
      <c r="U40" t="s">
        <v>374</v>
      </c>
      <c r="V40" t="s">
        <v>285</v>
      </c>
      <c r="W40">
        <v>15</v>
      </c>
      <c r="X40">
        <v>36</v>
      </c>
      <c r="Y40">
        <v>20</v>
      </c>
      <c r="Z40">
        <v>120</v>
      </c>
      <c r="AA40">
        <v>0</v>
      </c>
      <c r="AB40">
        <v>100</v>
      </c>
      <c r="AC40">
        <v>2</v>
      </c>
      <c r="AD40">
        <v>100</v>
      </c>
      <c r="AE40">
        <v>0</v>
      </c>
      <c r="AF40">
        <v>0</v>
      </c>
      <c r="AG40">
        <v>0</v>
      </c>
      <c r="AH40" t="s">
        <v>284</v>
      </c>
    </row>
    <row r="41" spans="1:34" x14ac:dyDescent="0.25">
      <c r="A41" t="s">
        <v>324</v>
      </c>
      <c r="B41">
        <v>6</v>
      </c>
      <c r="C41">
        <v>300</v>
      </c>
      <c r="D41">
        <v>150</v>
      </c>
      <c r="E41">
        <v>6000</v>
      </c>
      <c r="F41">
        <v>10</v>
      </c>
      <c r="G41">
        <v>5</v>
      </c>
      <c r="J41" t="s">
        <v>61</v>
      </c>
      <c r="M41" t="s">
        <v>61</v>
      </c>
      <c r="N41" t="s">
        <v>61</v>
      </c>
      <c r="O41" t="s">
        <v>61</v>
      </c>
      <c r="P41">
        <v>1</v>
      </c>
      <c r="Q41">
        <v>25</v>
      </c>
      <c r="R41">
        <v>5</v>
      </c>
      <c r="S41" t="s">
        <v>290</v>
      </c>
      <c r="T41" t="s">
        <v>61</v>
      </c>
      <c r="U41" t="s">
        <v>63</v>
      </c>
      <c r="V41" t="s">
        <v>287</v>
      </c>
      <c r="W41">
        <v>30</v>
      </c>
      <c r="X41">
        <v>0</v>
      </c>
      <c r="Y41">
        <v>0</v>
      </c>
      <c r="Z41">
        <v>15</v>
      </c>
      <c r="AA41">
        <v>2</v>
      </c>
      <c r="AB41">
        <v>0</v>
      </c>
      <c r="AC41">
        <v>5</v>
      </c>
      <c r="AD41">
        <v>100</v>
      </c>
      <c r="AE41">
        <v>80</v>
      </c>
      <c r="AF41">
        <v>60</v>
      </c>
      <c r="AG41">
        <v>30</v>
      </c>
      <c r="AH41" t="s">
        <v>61</v>
      </c>
    </row>
    <row r="42" spans="1:34" x14ac:dyDescent="0.25">
      <c r="A42" t="s">
        <v>325</v>
      </c>
      <c r="B42">
        <v>6</v>
      </c>
      <c r="C42">
        <v>250</v>
      </c>
      <c r="D42">
        <v>290</v>
      </c>
      <c r="E42">
        <v>7200</v>
      </c>
      <c r="F42">
        <v>20</v>
      </c>
      <c r="G42">
        <v>20</v>
      </c>
      <c r="M42" t="s">
        <v>61</v>
      </c>
      <c r="N42" t="s">
        <v>61</v>
      </c>
      <c r="O42" t="s">
        <v>61</v>
      </c>
      <c r="P42">
        <v>4</v>
      </c>
      <c r="Q42">
        <v>30</v>
      </c>
      <c r="R42">
        <v>6</v>
      </c>
      <c r="S42" t="s">
        <v>290</v>
      </c>
      <c r="T42" t="s">
        <v>61</v>
      </c>
      <c r="U42" t="s">
        <v>63</v>
      </c>
      <c r="V42" t="s">
        <v>285</v>
      </c>
      <c r="W42">
        <v>30</v>
      </c>
      <c r="X42">
        <v>0</v>
      </c>
      <c r="Y42">
        <v>0</v>
      </c>
      <c r="Z42">
        <v>6</v>
      </c>
      <c r="AA42">
        <v>1</v>
      </c>
      <c r="AB42">
        <v>0</v>
      </c>
      <c r="AC42">
        <v>8</v>
      </c>
      <c r="AD42">
        <v>100</v>
      </c>
      <c r="AE42">
        <v>80</v>
      </c>
      <c r="AF42">
        <v>0</v>
      </c>
      <c r="AG42">
        <v>0</v>
      </c>
      <c r="AH42" t="s">
        <v>61</v>
      </c>
    </row>
    <row r="43" spans="1:34" x14ac:dyDescent="0.25">
      <c r="A43" t="s">
        <v>326</v>
      </c>
      <c r="B43">
        <v>6</v>
      </c>
      <c r="C43">
        <v>300</v>
      </c>
      <c r="D43">
        <v>390</v>
      </c>
      <c r="E43">
        <v>11000</v>
      </c>
      <c r="F43">
        <v>60</v>
      </c>
      <c r="G43" t="s">
        <v>143</v>
      </c>
      <c r="M43" t="s">
        <v>61</v>
      </c>
      <c r="N43" t="s">
        <v>61</v>
      </c>
      <c r="O43" t="s">
        <v>61</v>
      </c>
      <c r="P43">
        <v>1</v>
      </c>
      <c r="Q43">
        <v>20</v>
      </c>
      <c r="R43">
        <v>4</v>
      </c>
      <c r="S43">
        <v>7</v>
      </c>
      <c r="T43" t="s">
        <v>284</v>
      </c>
      <c r="U43" t="s">
        <v>62</v>
      </c>
      <c r="V43" t="s">
        <v>287</v>
      </c>
      <c r="W43">
        <v>20</v>
      </c>
      <c r="X43">
        <v>45</v>
      </c>
      <c r="Y43">
        <v>120</v>
      </c>
      <c r="Z43">
        <v>24</v>
      </c>
      <c r="AA43">
        <v>0</v>
      </c>
      <c r="AB43">
        <v>20</v>
      </c>
      <c r="AC43">
        <v>3</v>
      </c>
      <c r="AD43">
        <v>100</v>
      </c>
      <c r="AE43">
        <v>0</v>
      </c>
      <c r="AF43">
        <v>0</v>
      </c>
      <c r="AG43">
        <v>0</v>
      </c>
      <c r="AH43" t="s">
        <v>284</v>
      </c>
    </row>
    <row r="44" spans="1:34" x14ac:dyDescent="0.25">
      <c r="A44" t="s">
        <v>327</v>
      </c>
      <c r="B44">
        <v>6</v>
      </c>
      <c r="C44">
        <v>300</v>
      </c>
      <c r="D44">
        <v>60</v>
      </c>
      <c r="E44">
        <v>1200</v>
      </c>
      <c r="F44">
        <v>60</v>
      </c>
      <c r="G44" t="s">
        <v>143</v>
      </c>
      <c r="H44" t="s">
        <v>61</v>
      </c>
      <c r="I44" t="s">
        <v>61</v>
      </c>
      <c r="J44" t="s">
        <v>61</v>
      </c>
      <c r="K44" t="s">
        <v>61</v>
      </c>
      <c r="M44" t="s">
        <v>61</v>
      </c>
      <c r="N44" t="s">
        <v>61</v>
      </c>
      <c r="O44" t="s">
        <v>61</v>
      </c>
      <c r="P44">
        <v>1</v>
      </c>
      <c r="Q44">
        <v>10</v>
      </c>
      <c r="R44">
        <v>2</v>
      </c>
      <c r="S44">
        <v>3</v>
      </c>
      <c r="T44" t="s">
        <v>284</v>
      </c>
      <c r="U44" t="s">
        <v>62</v>
      </c>
      <c r="V44" t="s">
        <v>287</v>
      </c>
      <c r="W44">
        <v>20</v>
      </c>
      <c r="X44">
        <v>30</v>
      </c>
      <c r="Y44">
        <v>50</v>
      </c>
      <c r="Z44">
        <v>10</v>
      </c>
      <c r="AA44">
        <v>0</v>
      </c>
      <c r="AB44">
        <v>20</v>
      </c>
      <c r="AC44">
        <v>3</v>
      </c>
      <c r="AD44">
        <v>100</v>
      </c>
      <c r="AE44">
        <v>0</v>
      </c>
      <c r="AF44">
        <v>0</v>
      </c>
      <c r="AG44">
        <v>0</v>
      </c>
      <c r="AH44" t="s">
        <v>284</v>
      </c>
    </row>
    <row r="45" spans="1:34" x14ac:dyDescent="0.25">
      <c r="A45" t="s">
        <v>328</v>
      </c>
      <c r="B45">
        <v>6</v>
      </c>
      <c r="C45">
        <v>300</v>
      </c>
      <c r="D45">
        <v>180</v>
      </c>
      <c r="E45">
        <v>7000</v>
      </c>
      <c r="F45">
        <v>60</v>
      </c>
      <c r="G45" t="s">
        <v>143</v>
      </c>
      <c r="K45" t="s">
        <v>61</v>
      </c>
      <c r="M45" t="s">
        <v>61</v>
      </c>
      <c r="N45" t="s">
        <v>61</v>
      </c>
      <c r="O45" t="s">
        <v>61</v>
      </c>
      <c r="P45">
        <v>1</v>
      </c>
      <c r="Q45">
        <v>15</v>
      </c>
      <c r="R45">
        <v>3</v>
      </c>
      <c r="S45">
        <v>5</v>
      </c>
      <c r="T45" t="s">
        <v>284</v>
      </c>
      <c r="U45" t="s">
        <v>62</v>
      </c>
      <c r="V45" t="s">
        <v>287</v>
      </c>
      <c r="W45">
        <v>20</v>
      </c>
      <c r="X45">
        <v>36</v>
      </c>
      <c r="Y45">
        <v>80</v>
      </c>
      <c r="Z45">
        <v>16</v>
      </c>
      <c r="AA45">
        <v>0</v>
      </c>
      <c r="AB45">
        <v>20</v>
      </c>
      <c r="AC45">
        <v>3</v>
      </c>
      <c r="AD45">
        <v>100</v>
      </c>
      <c r="AE45">
        <v>0</v>
      </c>
      <c r="AF45">
        <v>0</v>
      </c>
      <c r="AG45">
        <v>0</v>
      </c>
      <c r="AH45" t="s">
        <v>284</v>
      </c>
    </row>
    <row r="46" spans="1:34" x14ac:dyDescent="0.25">
      <c r="A46" t="s">
        <v>329</v>
      </c>
      <c r="B46">
        <v>7</v>
      </c>
      <c r="C46">
        <v>300</v>
      </c>
      <c r="D46">
        <v>350</v>
      </c>
      <c r="E46">
        <v>12000</v>
      </c>
      <c r="F46">
        <v>20</v>
      </c>
      <c r="G46">
        <v>8</v>
      </c>
      <c r="M46" t="s">
        <v>61</v>
      </c>
      <c r="N46" t="s">
        <v>61</v>
      </c>
      <c r="O46" t="s">
        <v>61</v>
      </c>
      <c r="P46">
        <v>1</v>
      </c>
      <c r="Q46">
        <v>30</v>
      </c>
      <c r="R46">
        <v>15</v>
      </c>
      <c r="S46" t="s">
        <v>290</v>
      </c>
      <c r="T46" t="s">
        <v>61</v>
      </c>
      <c r="U46" t="s">
        <v>63</v>
      </c>
      <c r="V46" t="s">
        <v>285</v>
      </c>
      <c r="W46">
        <v>30</v>
      </c>
      <c r="X46">
        <v>0</v>
      </c>
      <c r="Y46">
        <v>0</v>
      </c>
      <c r="Z46">
        <v>40</v>
      </c>
      <c r="AA46">
        <v>4</v>
      </c>
      <c r="AB46">
        <v>0</v>
      </c>
      <c r="AC46">
        <v>5</v>
      </c>
      <c r="AD46">
        <v>100</v>
      </c>
      <c r="AE46">
        <v>0</v>
      </c>
      <c r="AF46">
        <v>0</v>
      </c>
      <c r="AG46">
        <v>0</v>
      </c>
      <c r="AH46" t="s">
        <v>61</v>
      </c>
    </row>
    <row r="47" spans="1:34" x14ac:dyDescent="0.25">
      <c r="A47" t="s">
        <v>330</v>
      </c>
      <c r="B47">
        <v>7</v>
      </c>
      <c r="C47">
        <v>450</v>
      </c>
      <c r="D47">
        <v>220</v>
      </c>
      <c r="E47">
        <v>7000</v>
      </c>
      <c r="F47">
        <v>70</v>
      </c>
      <c r="G47" t="s">
        <v>143</v>
      </c>
      <c r="K47" t="s">
        <v>61</v>
      </c>
      <c r="M47" t="s">
        <v>61</v>
      </c>
      <c r="N47" t="s">
        <v>61</v>
      </c>
      <c r="O47" t="s">
        <v>61</v>
      </c>
      <c r="P47">
        <v>1</v>
      </c>
      <c r="Q47">
        <v>20</v>
      </c>
      <c r="R47">
        <v>4</v>
      </c>
      <c r="S47">
        <v>5</v>
      </c>
      <c r="T47" t="s">
        <v>284</v>
      </c>
      <c r="U47" t="s">
        <v>374</v>
      </c>
      <c r="V47" t="s">
        <v>287</v>
      </c>
      <c r="W47">
        <v>15</v>
      </c>
      <c r="X47">
        <v>60</v>
      </c>
      <c r="Y47">
        <v>100</v>
      </c>
      <c r="Z47">
        <v>100</v>
      </c>
      <c r="AA47">
        <v>0</v>
      </c>
      <c r="AB47">
        <v>100</v>
      </c>
      <c r="AC47">
        <v>2</v>
      </c>
      <c r="AD47">
        <v>100</v>
      </c>
      <c r="AE47">
        <v>0</v>
      </c>
      <c r="AF47">
        <v>0</v>
      </c>
      <c r="AG47">
        <v>0</v>
      </c>
      <c r="AH47" t="s">
        <v>284</v>
      </c>
    </row>
    <row r="48" spans="1:34" x14ac:dyDescent="0.25">
      <c r="A48" t="s">
        <v>331</v>
      </c>
      <c r="B48">
        <v>7</v>
      </c>
      <c r="C48">
        <v>400</v>
      </c>
      <c r="D48">
        <v>60</v>
      </c>
      <c r="E48">
        <v>8000</v>
      </c>
      <c r="F48">
        <v>75</v>
      </c>
      <c r="G48" t="s">
        <v>143</v>
      </c>
      <c r="H48" t="s">
        <v>61</v>
      </c>
      <c r="I48" t="s">
        <v>61</v>
      </c>
      <c r="J48" t="s">
        <v>61</v>
      </c>
      <c r="K48" t="s">
        <v>61</v>
      </c>
      <c r="M48" t="s">
        <v>61</v>
      </c>
      <c r="N48" t="s">
        <v>61</v>
      </c>
      <c r="O48" t="s">
        <v>61</v>
      </c>
      <c r="P48">
        <v>1</v>
      </c>
      <c r="Q48">
        <v>20</v>
      </c>
      <c r="R48">
        <v>5</v>
      </c>
      <c r="S48">
        <v>10</v>
      </c>
      <c r="T48" t="s">
        <v>284</v>
      </c>
      <c r="U48" t="s">
        <v>374</v>
      </c>
      <c r="V48" t="s">
        <v>285</v>
      </c>
      <c r="W48">
        <v>15</v>
      </c>
      <c r="X48">
        <v>24</v>
      </c>
      <c r="Y48">
        <v>12</v>
      </c>
      <c r="Z48">
        <v>60</v>
      </c>
      <c r="AA48">
        <v>0</v>
      </c>
      <c r="AB48">
        <v>100</v>
      </c>
      <c r="AC48">
        <v>2</v>
      </c>
      <c r="AD48">
        <v>100</v>
      </c>
      <c r="AE48">
        <v>0</v>
      </c>
      <c r="AF48">
        <v>0</v>
      </c>
      <c r="AG48">
        <v>0</v>
      </c>
      <c r="AH48" t="s">
        <v>284</v>
      </c>
    </row>
    <row r="49" spans="1:34" x14ac:dyDescent="0.25">
      <c r="A49" t="s">
        <v>332</v>
      </c>
      <c r="B49">
        <v>7</v>
      </c>
      <c r="C49">
        <v>150</v>
      </c>
      <c r="D49">
        <v>190</v>
      </c>
      <c r="E49">
        <v>7750</v>
      </c>
      <c r="F49">
        <v>60</v>
      </c>
      <c r="G49" t="s">
        <v>143</v>
      </c>
      <c r="K49" t="s">
        <v>61</v>
      </c>
      <c r="M49" t="s">
        <v>61</v>
      </c>
      <c r="N49" t="s">
        <v>61</v>
      </c>
      <c r="O49" t="s">
        <v>61</v>
      </c>
      <c r="P49">
        <v>1</v>
      </c>
      <c r="Q49">
        <v>12</v>
      </c>
      <c r="R49">
        <v>3</v>
      </c>
      <c r="S49">
        <v>3</v>
      </c>
      <c r="T49" t="s">
        <v>284</v>
      </c>
      <c r="U49" t="s">
        <v>65</v>
      </c>
      <c r="V49" t="s">
        <v>287</v>
      </c>
      <c r="W49">
        <v>20</v>
      </c>
      <c r="X49">
        <v>60</v>
      </c>
      <c r="Y49">
        <v>90</v>
      </c>
      <c r="Z49">
        <v>45</v>
      </c>
      <c r="AA49">
        <v>0</v>
      </c>
      <c r="AB49">
        <v>50</v>
      </c>
      <c r="AC49">
        <v>3</v>
      </c>
      <c r="AD49">
        <v>100</v>
      </c>
      <c r="AE49">
        <v>0</v>
      </c>
      <c r="AF49">
        <v>0</v>
      </c>
      <c r="AG49">
        <v>0</v>
      </c>
      <c r="AH49" t="s">
        <v>284</v>
      </c>
    </row>
    <row r="50" spans="1:34" x14ac:dyDescent="0.25">
      <c r="A50" t="s">
        <v>333</v>
      </c>
      <c r="B50">
        <v>7</v>
      </c>
      <c r="C50">
        <v>175</v>
      </c>
      <c r="D50">
        <v>400</v>
      </c>
      <c r="E50">
        <v>7000</v>
      </c>
      <c r="F50">
        <v>30</v>
      </c>
      <c r="G50" t="s">
        <v>143</v>
      </c>
      <c r="L50" t="s">
        <v>61</v>
      </c>
      <c r="O50" t="s">
        <v>61</v>
      </c>
      <c r="P50">
        <v>2</v>
      </c>
      <c r="Q50">
        <v>12</v>
      </c>
      <c r="R50">
        <v>4</v>
      </c>
      <c r="S50">
        <v>6</v>
      </c>
      <c r="T50" t="s">
        <v>61</v>
      </c>
      <c r="U50" t="s">
        <v>65</v>
      </c>
      <c r="V50" t="s">
        <v>287</v>
      </c>
      <c r="W50">
        <v>15</v>
      </c>
      <c r="X50">
        <v>16</v>
      </c>
      <c r="Y50">
        <v>16</v>
      </c>
      <c r="Z50">
        <v>8</v>
      </c>
      <c r="AA50">
        <v>0</v>
      </c>
      <c r="AB50">
        <v>50</v>
      </c>
      <c r="AC50">
        <v>5</v>
      </c>
      <c r="AD50">
        <v>100</v>
      </c>
      <c r="AE50">
        <v>80</v>
      </c>
      <c r="AF50">
        <v>0</v>
      </c>
      <c r="AG50">
        <v>0</v>
      </c>
      <c r="AH50" t="s">
        <v>284</v>
      </c>
    </row>
    <row r="51" spans="1:34" x14ac:dyDescent="0.25">
      <c r="A51" t="s">
        <v>334</v>
      </c>
      <c r="B51">
        <v>7</v>
      </c>
      <c r="C51">
        <v>350</v>
      </c>
      <c r="D51">
        <v>50</v>
      </c>
      <c r="E51">
        <v>4500</v>
      </c>
      <c r="F51">
        <v>70</v>
      </c>
      <c r="G51" t="s">
        <v>143</v>
      </c>
      <c r="K51" t="s">
        <v>61</v>
      </c>
      <c r="M51" t="s">
        <v>61</v>
      </c>
      <c r="N51" t="s">
        <v>61</v>
      </c>
      <c r="O51" t="s">
        <v>61</v>
      </c>
      <c r="P51">
        <v>4</v>
      </c>
      <c r="Q51">
        <v>18</v>
      </c>
      <c r="R51">
        <v>4</v>
      </c>
      <c r="S51">
        <v>6</v>
      </c>
      <c r="T51" t="s">
        <v>284</v>
      </c>
      <c r="U51" t="s">
        <v>62</v>
      </c>
      <c r="V51" t="s">
        <v>287</v>
      </c>
      <c r="W51">
        <v>25</v>
      </c>
      <c r="X51">
        <v>10</v>
      </c>
      <c r="Y51">
        <v>32</v>
      </c>
      <c r="Z51">
        <v>6</v>
      </c>
      <c r="AA51">
        <v>0</v>
      </c>
      <c r="AB51">
        <v>20</v>
      </c>
      <c r="AC51">
        <v>2</v>
      </c>
      <c r="AD51">
        <v>100</v>
      </c>
      <c r="AE51">
        <v>0</v>
      </c>
      <c r="AF51">
        <v>0</v>
      </c>
      <c r="AG51">
        <v>0</v>
      </c>
      <c r="AH51" t="s">
        <v>284</v>
      </c>
    </row>
    <row r="52" spans="1:34" x14ac:dyDescent="0.25">
      <c r="A52" t="s">
        <v>335</v>
      </c>
      <c r="B52">
        <v>8</v>
      </c>
      <c r="C52">
        <v>200</v>
      </c>
      <c r="D52">
        <v>310</v>
      </c>
      <c r="E52">
        <v>6000</v>
      </c>
      <c r="F52">
        <v>50</v>
      </c>
      <c r="G52" t="s">
        <v>143</v>
      </c>
      <c r="M52" t="s">
        <v>61</v>
      </c>
      <c r="N52" t="s">
        <v>61</v>
      </c>
      <c r="O52" t="s">
        <v>61</v>
      </c>
      <c r="P52">
        <v>1</v>
      </c>
      <c r="Q52">
        <v>9</v>
      </c>
      <c r="R52">
        <v>2</v>
      </c>
      <c r="S52">
        <v>3</v>
      </c>
      <c r="T52" t="s">
        <v>284</v>
      </c>
      <c r="U52" t="s">
        <v>65</v>
      </c>
      <c r="V52" t="s">
        <v>287</v>
      </c>
      <c r="W52">
        <v>10</v>
      </c>
      <c r="X52">
        <v>60</v>
      </c>
      <c r="Y52">
        <v>72</v>
      </c>
      <c r="Z52">
        <v>48</v>
      </c>
      <c r="AA52">
        <v>0</v>
      </c>
      <c r="AB52">
        <v>67</v>
      </c>
      <c r="AC52">
        <v>4</v>
      </c>
      <c r="AD52">
        <v>100</v>
      </c>
      <c r="AE52">
        <v>0</v>
      </c>
      <c r="AF52">
        <v>0</v>
      </c>
      <c r="AG52">
        <v>0</v>
      </c>
      <c r="AH52" t="s">
        <v>284</v>
      </c>
    </row>
    <row r="53" spans="1:34" x14ac:dyDescent="0.25">
      <c r="A53" t="s">
        <v>336</v>
      </c>
      <c r="B53">
        <v>8</v>
      </c>
      <c r="C53">
        <v>200</v>
      </c>
      <c r="D53">
        <v>188</v>
      </c>
      <c r="E53">
        <v>2500</v>
      </c>
      <c r="F53">
        <v>50</v>
      </c>
      <c r="G53" t="s">
        <v>143</v>
      </c>
      <c r="K53" t="s">
        <v>61</v>
      </c>
      <c r="M53" t="s">
        <v>61</v>
      </c>
      <c r="N53" t="s">
        <v>61</v>
      </c>
      <c r="O53" t="s">
        <v>61</v>
      </c>
      <c r="P53">
        <v>1</v>
      </c>
      <c r="Q53">
        <v>9</v>
      </c>
      <c r="R53">
        <v>2</v>
      </c>
      <c r="S53">
        <v>3</v>
      </c>
      <c r="T53" t="s">
        <v>284</v>
      </c>
      <c r="U53" t="s">
        <v>65</v>
      </c>
      <c r="V53" t="s">
        <v>287</v>
      </c>
      <c r="W53">
        <v>10</v>
      </c>
      <c r="X53">
        <v>45</v>
      </c>
      <c r="Y53">
        <v>48</v>
      </c>
      <c r="Z53">
        <v>32</v>
      </c>
      <c r="AA53">
        <v>0</v>
      </c>
      <c r="AB53">
        <v>67</v>
      </c>
      <c r="AC53">
        <v>4</v>
      </c>
      <c r="AD53">
        <v>100</v>
      </c>
      <c r="AE53">
        <v>0</v>
      </c>
      <c r="AF53">
        <v>0</v>
      </c>
      <c r="AG53">
        <v>0</v>
      </c>
      <c r="AH53" t="s">
        <v>284</v>
      </c>
    </row>
    <row r="54" spans="1:34" x14ac:dyDescent="0.25">
      <c r="A54" t="s">
        <v>337</v>
      </c>
      <c r="B54">
        <v>8</v>
      </c>
      <c r="C54">
        <v>175</v>
      </c>
      <c r="D54">
        <v>72</v>
      </c>
      <c r="E54">
        <v>1250</v>
      </c>
      <c r="F54">
        <v>50</v>
      </c>
      <c r="G54" t="s">
        <v>143</v>
      </c>
      <c r="H54" t="s">
        <v>61</v>
      </c>
      <c r="I54" t="s">
        <v>61</v>
      </c>
      <c r="J54" t="s">
        <v>61</v>
      </c>
      <c r="K54" t="s">
        <v>61</v>
      </c>
      <c r="M54" t="s">
        <v>61</v>
      </c>
      <c r="N54" t="s">
        <v>61</v>
      </c>
      <c r="O54" t="s">
        <v>61</v>
      </c>
      <c r="P54">
        <v>1</v>
      </c>
      <c r="Q54">
        <v>9</v>
      </c>
      <c r="R54">
        <v>2</v>
      </c>
      <c r="S54">
        <v>3</v>
      </c>
      <c r="T54" t="s">
        <v>284</v>
      </c>
      <c r="U54" t="s">
        <v>65</v>
      </c>
      <c r="V54" t="s">
        <v>287</v>
      </c>
      <c r="W54">
        <v>10</v>
      </c>
      <c r="X54">
        <v>30</v>
      </c>
      <c r="Y54">
        <v>32</v>
      </c>
      <c r="Z54">
        <v>24</v>
      </c>
      <c r="AA54">
        <v>0</v>
      </c>
      <c r="AB54">
        <v>67</v>
      </c>
      <c r="AC54">
        <v>4</v>
      </c>
      <c r="AD54">
        <v>100</v>
      </c>
      <c r="AE54">
        <v>0</v>
      </c>
      <c r="AF54">
        <v>0</v>
      </c>
      <c r="AG54">
        <v>0</v>
      </c>
      <c r="AH54" t="s">
        <v>284</v>
      </c>
    </row>
    <row r="55" spans="1:34" x14ac:dyDescent="0.25">
      <c r="A55" t="s">
        <v>338</v>
      </c>
      <c r="B55">
        <v>8</v>
      </c>
      <c r="C55">
        <v>350</v>
      </c>
      <c r="D55">
        <v>75</v>
      </c>
      <c r="E55">
        <v>8800</v>
      </c>
      <c r="F55">
        <v>20</v>
      </c>
      <c r="G55" t="s">
        <v>143</v>
      </c>
      <c r="K55" t="s">
        <v>61</v>
      </c>
      <c r="M55" t="s">
        <v>61</v>
      </c>
      <c r="N55" t="s">
        <v>61</v>
      </c>
      <c r="O55" t="s">
        <v>61</v>
      </c>
      <c r="P55">
        <v>2</v>
      </c>
      <c r="Q55">
        <v>10</v>
      </c>
      <c r="R55">
        <v>2</v>
      </c>
      <c r="S55">
        <v>3</v>
      </c>
      <c r="T55" t="s">
        <v>284</v>
      </c>
      <c r="U55" t="s">
        <v>62</v>
      </c>
      <c r="V55" t="s">
        <v>287</v>
      </c>
      <c r="W55">
        <v>25</v>
      </c>
      <c r="X55">
        <v>24</v>
      </c>
      <c r="Y55">
        <v>40</v>
      </c>
      <c r="Z55">
        <v>10</v>
      </c>
      <c r="AA55">
        <v>0</v>
      </c>
      <c r="AB55">
        <v>20</v>
      </c>
      <c r="AC55">
        <v>4</v>
      </c>
      <c r="AD55">
        <v>100</v>
      </c>
      <c r="AE55">
        <v>0</v>
      </c>
      <c r="AF55">
        <v>0</v>
      </c>
      <c r="AG55">
        <v>0</v>
      </c>
      <c r="AH55" t="s">
        <v>284</v>
      </c>
    </row>
    <row r="56" spans="1:34" x14ac:dyDescent="0.25">
      <c r="A56" t="s">
        <v>339</v>
      </c>
      <c r="B56">
        <v>8</v>
      </c>
      <c r="C56">
        <v>10</v>
      </c>
      <c r="D56">
        <v>100</v>
      </c>
      <c r="E56">
        <v>2500</v>
      </c>
      <c r="F56">
        <v>30</v>
      </c>
      <c r="G56" t="s">
        <v>143</v>
      </c>
      <c r="H56" t="s">
        <v>61</v>
      </c>
      <c r="I56" t="s">
        <v>61</v>
      </c>
      <c r="J56" t="s">
        <v>61</v>
      </c>
      <c r="K56" t="s">
        <v>61</v>
      </c>
      <c r="M56" t="s">
        <v>61</v>
      </c>
      <c r="N56" t="s">
        <v>61</v>
      </c>
      <c r="O56" t="s">
        <v>61</v>
      </c>
      <c r="P56">
        <v>1</v>
      </c>
      <c r="Q56">
        <v>1</v>
      </c>
      <c r="R56">
        <v>1</v>
      </c>
      <c r="S56">
        <v>1</v>
      </c>
      <c r="T56" t="s">
        <v>284</v>
      </c>
      <c r="U56" t="s">
        <v>374</v>
      </c>
      <c r="V56" t="s">
        <v>287</v>
      </c>
      <c r="W56">
        <v>0</v>
      </c>
      <c r="X56">
        <v>80</v>
      </c>
      <c r="Y56">
        <v>300</v>
      </c>
      <c r="Z56">
        <v>300</v>
      </c>
      <c r="AA56">
        <v>0</v>
      </c>
      <c r="AB56">
        <v>100</v>
      </c>
      <c r="AC56">
        <v>1</v>
      </c>
      <c r="AD56">
        <v>100</v>
      </c>
      <c r="AE56">
        <v>0</v>
      </c>
      <c r="AF56">
        <v>0</v>
      </c>
      <c r="AG56">
        <v>0</v>
      </c>
      <c r="AH56" t="s">
        <v>284</v>
      </c>
    </row>
    <row r="57" spans="1:34" x14ac:dyDescent="0.25">
      <c r="A57" t="s">
        <v>340</v>
      </c>
      <c r="B57">
        <v>9</v>
      </c>
      <c r="C57">
        <v>300</v>
      </c>
      <c r="D57">
        <v>175</v>
      </c>
      <c r="E57">
        <v>9000</v>
      </c>
      <c r="F57">
        <v>55</v>
      </c>
      <c r="G57" t="s">
        <v>143</v>
      </c>
      <c r="H57" t="s">
        <v>61</v>
      </c>
      <c r="I57" t="s">
        <v>61</v>
      </c>
      <c r="J57" t="s">
        <v>61</v>
      </c>
      <c r="K57" t="s">
        <v>61</v>
      </c>
      <c r="M57" t="s">
        <v>61</v>
      </c>
      <c r="N57" t="s">
        <v>61</v>
      </c>
      <c r="O57" t="s">
        <v>61</v>
      </c>
      <c r="P57">
        <v>2</v>
      </c>
      <c r="Q57">
        <v>15</v>
      </c>
      <c r="R57">
        <v>3</v>
      </c>
      <c r="S57">
        <v>5</v>
      </c>
      <c r="T57" t="s">
        <v>284</v>
      </c>
      <c r="U57" t="s">
        <v>374</v>
      </c>
      <c r="V57" t="s">
        <v>287</v>
      </c>
      <c r="W57">
        <v>30</v>
      </c>
      <c r="X57">
        <v>24</v>
      </c>
      <c r="Y57">
        <v>150</v>
      </c>
      <c r="Z57">
        <v>0</v>
      </c>
      <c r="AA57">
        <v>0</v>
      </c>
      <c r="AB57">
        <v>0</v>
      </c>
      <c r="AC57">
        <v>2</v>
      </c>
      <c r="AD57">
        <v>100</v>
      </c>
      <c r="AE57">
        <v>0</v>
      </c>
      <c r="AF57">
        <v>0</v>
      </c>
      <c r="AG57">
        <v>0</v>
      </c>
      <c r="AH57" t="s">
        <v>284</v>
      </c>
    </row>
    <row r="58" spans="1:34" x14ac:dyDescent="0.25">
      <c r="A58" t="s">
        <v>341</v>
      </c>
      <c r="B58">
        <v>9</v>
      </c>
      <c r="C58">
        <v>200</v>
      </c>
      <c r="D58">
        <v>450</v>
      </c>
      <c r="E58">
        <v>12000</v>
      </c>
      <c r="F58">
        <v>15</v>
      </c>
      <c r="G58">
        <v>16</v>
      </c>
      <c r="J58" t="s">
        <v>61</v>
      </c>
      <c r="M58" t="s">
        <v>61</v>
      </c>
      <c r="N58" t="s">
        <v>61</v>
      </c>
      <c r="O58" t="s">
        <v>61</v>
      </c>
      <c r="P58">
        <v>4</v>
      </c>
      <c r="Q58">
        <v>30</v>
      </c>
      <c r="R58">
        <v>15</v>
      </c>
      <c r="S58" t="s">
        <v>290</v>
      </c>
      <c r="T58" t="s">
        <v>61</v>
      </c>
      <c r="U58" t="s">
        <v>63</v>
      </c>
      <c r="V58" t="s">
        <v>285</v>
      </c>
      <c r="W58">
        <v>30</v>
      </c>
      <c r="X58">
        <v>8</v>
      </c>
      <c r="Y58">
        <v>0</v>
      </c>
      <c r="Z58">
        <v>40</v>
      </c>
      <c r="AA58">
        <v>6</v>
      </c>
      <c r="AB58">
        <v>0</v>
      </c>
      <c r="AC58">
        <v>2</v>
      </c>
      <c r="AD58">
        <v>100</v>
      </c>
      <c r="AE58">
        <v>80</v>
      </c>
      <c r="AF58">
        <v>0</v>
      </c>
      <c r="AG58">
        <v>0</v>
      </c>
      <c r="AH58" t="s">
        <v>61</v>
      </c>
    </row>
    <row r="59" spans="1:34" x14ac:dyDescent="0.25">
      <c r="A59" t="s">
        <v>342</v>
      </c>
      <c r="B59">
        <v>9</v>
      </c>
      <c r="C59">
        <v>100</v>
      </c>
      <c r="D59">
        <v>25</v>
      </c>
      <c r="E59">
        <v>4000</v>
      </c>
      <c r="F59">
        <v>80</v>
      </c>
      <c r="G59" t="s">
        <v>143</v>
      </c>
      <c r="H59" t="s">
        <v>61</v>
      </c>
      <c r="I59" t="s">
        <v>61</v>
      </c>
      <c r="J59" t="s">
        <v>61</v>
      </c>
      <c r="K59" t="s">
        <v>61</v>
      </c>
      <c r="M59" t="s">
        <v>61</v>
      </c>
      <c r="N59" t="s">
        <v>61</v>
      </c>
      <c r="O59" t="s">
        <v>61</v>
      </c>
      <c r="P59">
        <v>1</v>
      </c>
      <c r="Q59">
        <v>15</v>
      </c>
      <c r="R59">
        <v>3</v>
      </c>
      <c r="S59">
        <v>3</v>
      </c>
      <c r="T59" t="s">
        <v>284</v>
      </c>
      <c r="U59" t="s">
        <v>374</v>
      </c>
      <c r="V59" t="s">
        <v>287</v>
      </c>
      <c r="W59">
        <v>15</v>
      </c>
      <c r="X59">
        <v>40</v>
      </c>
      <c r="Y59">
        <v>0</v>
      </c>
      <c r="Z59">
        <v>10</v>
      </c>
      <c r="AA59">
        <v>10</v>
      </c>
      <c r="AB59">
        <v>0</v>
      </c>
      <c r="AC59">
        <v>10</v>
      </c>
      <c r="AD59">
        <v>100</v>
      </c>
      <c r="AE59">
        <v>0</v>
      </c>
      <c r="AF59">
        <v>0</v>
      </c>
      <c r="AG59">
        <v>0</v>
      </c>
      <c r="AH59" t="s">
        <v>284</v>
      </c>
    </row>
    <row r="60" spans="1:34" x14ac:dyDescent="0.25">
      <c r="A60" t="s">
        <v>343</v>
      </c>
      <c r="B60">
        <v>10</v>
      </c>
      <c r="C60">
        <v>175</v>
      </c>
      <c r="D60">
        <v>290</v>
      </c>
      <c r="E60">
        <v>11000</v>
      </c>
      <c r="F60">
        <v>15</v>
      </c>
      <c r="G60">
        <v>24</v>
      </c>
      <c r="I60" t="s">
        <v>61</v>
      </c>
      <c r="J60" t="s">
        <v>61</v>
      </c>
      <c r="K60" t="s">
        <v>61</v>
      </c>
      <c r="L60" t="s">
        <v>61</v>
      </c>
      <c r="O60" t="s">
        <v>61</v>
      </c>
      <c r="P60">
        <v>2</v>
      </c>
      <c r="Q60">
        <v>12</v>
      </c>
      <c r="R60">
        <v>3</v>
      </c>
      <c r="S60">
        <v>5</v>
      </c>
      <c r="T60" t="s">
        <v>284</v>
      </c>
      <c r="U60" t="s">
        <v>64</v>
      </c>
      <c r="V60" t="s">
        <v>287</v>
      </c>
      <c r="W60">
        <v>15</v>
      </c>
      <c r="X60">
        <v>24</v>
      </c>
      <c r="Y60">
        <v>6</v>
      </c>
      <c r="Z60">
        <v>30</v>
      </c>
      <c r="AA60">
        <v>6</v>
      </c>
      <c r="AB60">
        <v>100</v>
      </c>
      <c r="AC60">
        <v>4</v>
      </c>
      <c r="AD60">
        <v>100</v>
      </c>
      <c r="AE60">
        <v>0</v>
      </c>
      <c r="AF60">
        <v>0</v>
      </c>
      <c r="AG60">
        <v>0</v>
      </c>
      <c r="AH60" t="s">
        <v>284</v>
      </c>
    </row>
    <row r="61" spans="1:34" x14ac:dyDescent="0.25">
      <c r="A61" t="s">
        <v>344</v>
      </c>
      <c r="B61">
        <v>10</v>
      </c>
      <c r="C61">
        <v>500</v>
      </c>
      <c r="D61">
        <v>475</v>
      </c>
      <c r="E61">
        <v>15575</v>
      </c>
      <c r="F61">
        <v>25</v>
      </c>
      <c r="G61" t="s">
        <v>143</v>
      </c>
      <c r="K61" t="s">
        <v>61</v>
      </c>
      <c r="M61" t="s">
        <v>61</v>
      </c>
      <c r="N61" t="s">
        <v>61</v>
      </c>
      <c r="O61" t="s">
        <v>61</v>
      </c>
      <c r="P61">
        <v>2</v>
      </c>
      <c r="Q61">
        <v>12</v>
      </c>
      <c r="R61">
        <v>4</v>
      </c>
      <c r="S61">
        <v>6</v>
      </c>
      <c r="T61" t="s">
        <v>61</v>
      </c>
      <c r="U61" t="s">
        <v>66</v>
      </c>
      <c r="V61" t="s">
        <v>287</v>
      </c>
      <c r="W61">
        <v>10</v>
      </c>
      <c r="X61">
        <v>16</v>
      </c>
      <c r="Y61">
        <v>0</v>
      </c>
      <c r="Z61">
        <v>20</v>
      </c>
      <c r="AA61">
        <v>20</v>
      </c>
      <c r="AB61">
        <v>0</v>
      </c>
      <c r="AC61">
        <v>2</v>
      </c>
      <c r="AD61">
        <v>100</v>
      </c>
      <c r="AE61">
        <v>80</v>
      </c>
      <c r="AF61">
        <v>0</v>
      </c>
      <c r="AG61">
        <v>0</v>
      </c>
      <c r="AH61" t="s">
        <v>284</v>
      </c>
    </row>
    <row r="62" spans="1:34" x14ac:dyDescent="0.25">
      <c r="A62" t="s">
        <v>345</v>
      </c>
      <c r="B62">
        <v>10</v>
      </c>
      <c r="C62">
        <v>200</v>
      </c>
      <c r="D62">
        <v>550</v>
      </c>
      <c r="E62">
        <v>5525</v>
      </c>
      <c r="F62">
        <v>30</v>
      </c>
      <c r="G62">
        <v>24</v>
      </c>
      <c r="L62" t="s">
        <v>61</v>
      </c>
      <c r="O62" t="s">
        <v>61</v>
      </c>
      <c r="P62">
        <v>2</v>
      </c>
      <c r="Q62">
        <v>12</v>
      </c>
      <c r="R62">
        <v>4</v>
      </c>
      <c r="S62">
        <v>6</v>
      </c>
      <c r="T62" t="s">
        <v>61</v>
      </c>
      <c r="U62" t="s">
        <v>65</v>
      </c>
      <c r="V62" t="s">
        <v>287</v>
      </c>
      <c r="W62">
        <v>15</v>
      </c>
      <c r="X62">
        <v>18</v>
      </c>
      <c r="Y62">
        <v>18</v>
      </c>
      <c r="Z62">
        <v>12</v>
      </c>
      <c r="AA62">
        <v>0</v>
      </c>
      <c r="AB62">
        <v>67</v>
      </c>
      <c r="AC62">
        <v>6</v>
      </c>
      <c r="AD62">
        <v>100</v>
      </c>
      <c r="AE62">
        <v>80</v>
      </c>
      <c r="AF62">
        <v>0</v>
      </c>
      <c r="AG62">
        <v>0</v>
      </c>
      <c r="AH62" t="s">
        <v>284</v>
      </c>
    </row>
    <row r="63" spans="1:34" x14ac:dyDescent="0.25">
      <c r="A63" t="s">
        <v>346</v>
      </c>
      <c r="B63">
        <v>10</v>
      </c>
      <c r="C63">
        <v>200</v>
      </c>
      <c r="D63">
        <v>500</v>
      </c>
      <c r="E63">
        <v>16000</v>
      </c>
      <c r="F63">
        <v>15</v>
      </c>
      <c r="G63">
        <v>4</v>
      </c>
      <c r="M63" t="s">
        <v>61</v>
      </c>
      <c r="N63" t="s">
        <v>61</v>
      </c>
      <c r="O63" t="s">
        <v>61</v>
      </c>
      <c r="P63">
        <v>1</v>
      </c>
      <c r="Q63">
        <v>25</v>
      </c>
      <c r="R63">
        <v>5</v>
      </c>
      <c r="S63" t="s">
        <v>290</v>
      </c>
      <c r="T63" t="s">
        <v>61</v>
      </c>
      <c r="U63" t="s">
        <v>63</v>
      </c>
      <c r="V63" t="s">
        <v>287</v>
      </c>
      <c r="W63">
        <v>20</v>
      </c>
      <c r="X63">
        <v>0</v>
      </c>
      <c r="Y63">
        <v>0</v>
      </c>
      <c r="Z63">
        <v>30</v>
      </c>
      <c r="AA63">
        <v>3</v>
      </c>
      <c r="AB63">
        <v>0</v>
      </c>
      <c r="AC63">
        <v>5</v>
      </c>
      <c r="AD63">
        <v>100</v>
      </c>
      <c r="AE63">
        <v>80</v>
      </c>
      <c r="AF63">
        <v>60</v>
      </c>
      <c r="AG63">
        <v>30</v>
      </c>
      <c r="AH63" t="s">
        <v>61</v>
      </c>
    </row>
    <row r="64" spans="1:34" x14ac:dyDescent="0.25">
      <c r="A64" t="s">
        <v>347</v>
      </c>
      <c r="B64">
        <v>11</v>
      </c>
      <c r="C64">
        <v>200</v>
      </c>
      <c r="D64">
        <v>425</v>
      </c>
      <c r="E64">
        <v>18000</v>
      </c>
      <c r="F64">
        <v>65</v>
      </c>
      <c r="G64" t="s">
        <v>143</v>
      </c>
      <c r="M64" t="s">
        <v>61</v>
      </c>
      <c r="N64" t="s">
        <v>61</v>
      </c>
      <c r="O64" t="s">
        <v>61</v>
      </c>
      <c r="P64">
        <v>2</v>
      </c>
      <c r="Q64">
        <v>20</v>
      </c>
      <c r="R64">
        <v>4</v>
      </c>
      <c r="S64">
        <v>5</v>
      </c>
      <c r="T64" t="s">
        <v>284</v>
      </c>
      <c r="U64" t="s">
        <v>62</v>
      </c>
      <c r="V64" t="s">
        <v>287</v>
      </c>
      <c r="W64">
        <v>15</v>
      </c>
      <c r="X64">
        <v>25</v>
      </c>
      <c r="Y64">
        <v>160</v>
      </c>
      <c r="Z64">
        <v>128</v>
      </c>
      <c r="AA64">
        <v>0</v>
      </c>
      <c r="AB64">
        <v>80</v>
      </c>
      <c r="AC64">
        <v>1</v>
      </c>
      <c r="AD64">
        <v>100</v>
      </c>
      <c r="AE64">
        <v>0</v>
      </c>
      <c r="AF64">
        <v>0</v>
      </c>
      <c r="AG64">
        <v>0</v>
      </c>
      <c r="AH64" t="s">
        <v>284</v>
      </c>
    </row>
    <row r="65" spans="1:34" x14ac:dyDescent="0.25">
      <c r="A65" t="s">
        <v>348</v>
      </c>
      <c r="B65">
        <v>11</v>
      </c>
      <c r="C65">
        <v>100</v>
      </c>
      <c r="D65">
        <v>1200</v>
      </c>
      <c r="E65">
        <v>8000</v>
      </c>
      <c r="F65">
        <v>20</v>
      </c>
      <c r="G65">
        <v>1</v>
      </c>
      <c r="H65" t="s">
        <v>61</v>
      </c>
      <c r="I65" t="s">
        <v>61</v>
      </c>
      <c r="J65" t="s">
        <v>61</v>
      </c>
      <c r="K65" t="s">
        <v>61</v>
      </c>
      <c r="M65" t="s">
        <v>61</v>
      </c>
      <c r="N65" t="s">
        <v>61</v>
      </c>
      <c r="O65" t="s">
        <v>61</v>
      </c>
      <c r="P65">
        <v>1</v>
      </c>
      <c r="Q65">
        <v>2</v>
      </c>
      <c r="R65">
        <v>1</v>
      </c>
      <c r="S65" t="s">
        <v>290</v>
      </c>
      <c r="T65" t="s">
        <v>61</v>
      </c>
      <c r="U65" t="s">
        <v>63</v>
      </c>
      <c r="V65" t="s">
        <v>287</v>
      </c>
      <c r="W65">
        <v>20</v>
      </c>
      <c r="X65">
        <v>0</v>
      </c>
      <c r="Y65">
        <v>0</v>
      </c>
      <c r="Z65">
        <v>75</v>
      </c>
      <c r="AA65">
        <v>7</v>
      </c>
      <c r="AB65">
        <v>0</v>
      </c>
      <c r="AC65">
        <v>10</v>
      </c>
      <c r="AD65">
        <v>100</v>
      </c>
      <c r="AE65">
        <v>80</v>
      </c>
      <c r="AF65">
        <v>60</v>
      </c>
      <c r="AG65">
        <v>0</v>
      </c>
      <c r="AH65" t="s">
        <v>61</v>
      </c>
    </row>
    <row r="66" spans="1:34" x14ac:dyDescent="0.25">
      <c r="A66" t="s">
        <v>349</v>
      </c>
      <c r="B66">
        <v>11</v>
      </c>
      <c r="C66">
        <v>200</v>
      </c>
      <c r="D66">
        <v>210</v>
      </c>
      <c r="E66">
        <v>10000</v>
      </c>
      <c r="F66">
        <v>65</v>
      </c>
      <c r="G66" t="s">
        <v>143</v>
      </c>
      <c r="K66" t="s">
        <v>61</v>
      </c>
      <c r="M66" t="s">
        <v>61</v>
      </c>
      <c r="N66" t="s">
        <v>61</v>
      </c>
      <c r="O66" t="s">
        <v>61</v>
      </c>
      <c r="P66">
        <v>2</v>
      </c>
      <c r="Q66">
        <v>20</v>
      </c>
      <c r="R66">
        <v>4</v>
      </c>
      <c r="S66">
        <v>5</v>
      </c>
      <c r="T66" t="s">
        <v>284</v>
      </c>
      <c r="U66" t="s">
        <v>62</v>
      </c>
      <c r="V66" t="s">
        <v>287</v>
      </c>
      <c r="W66">
        <v>15</v>
      </c>
      <c r="X66">
        <v>15</v>
      </c>
      <c r="Y66">
        <v>80</v>
      </c>
      <c r="Z66">
        <v>64</v>
      </c>
      <c r="AA66">
        <v>0</v>
      </c>
      <c r="AB66">
        <v>80</v>
      </c>
      <c r="AC66">
        <v>1</v>
      </c>
      <c r="AD66">
        <v>100</v>
      </c>
      <c r="AE66">
        <v>0</v>
      </c>
      <c r="AF66">
        <v>0</v>
      </c>
      <c r="AG66">
        <v>0</v>
      </c>
      <c r="AH66" t="s">
        <v>284</v>
      </c>
    </row>
    <row r="67" spans="1:34" x14ac:dyDescent="0.25">
      <c r="A67" t="s">
        <v>373</v>
      </c>
      <c r="B67">
        <v>12</v>
      </c>
      <c r="C67">
        <v>5</v>
      </c>
      <c r="D67">
        <v>1350</v>
      </c>
      <c r="E67">
        <v>120000</v>
      </c>
      <c r="F67">
        <v>10</v>
      </c>
      <c r="G67" t="s">
        <v>143</v>
      </c>
      <c r="O67" t="s">
        <v>61</v>
      </c>
      <c r="P67">
        <v>6</v>
      </c>
      <c r="Q67">
        <v>18</v>
      </c>
      <c r="R67">
        <v>6</v>
      </c>
      <c r="S67">
        <v>9</v>
      </c>
      <c r="T67" t="s">
        <v>284</v>
      </c>
      <c r="U67" t="s">
        <v>374</v>
      </c>
      <c r="V67" t="s">
        <v>287</v>
      </c>
      <c r="W67">
        <v>5</v>
      </c>
      <c r="X67">
        <v>16</v>
      </c>
      <c r="Y67">
        <v>0</v>
      </c>
      <c r="Z67">
        <v>20</v>
      </c>
      <c r="AA67">
        <v>20</v>
      </c>
      <c r="AB67">
        <v>0</v>
      </c>
      <c r="AC67">
        <v>2</v>
      </c>
      <c r="AD67">
        <v>100</v>
      </c>
      <c r="AE67">
        <v>0</v>
      </c>
      <c r="AF67">
        <v>0</v>
      </c>
      <c r="AG67">
        <v>0</v>
      </c>
      <c r="AH67" t="s">
        <v>284</v>
      </c>
    </row>
    <row r="68" spans="1:34" x14ac:dyDescent="0.25">
      <c r="A68" t="s">
        <v>350</v>
      </c>
      <c r="B68">
        <v>12</v>
      </c>
      <c r="C68">
        <v>225</v>
      </c>
      <c r="D68">
        <v>215</v>
      </c>
      <c r="E68">
        <v>9500</v>
      </c>
      <c r="F68">
        <v>70</v>
      </c>
      <c r="G68" t="s">
        <v>143</v>
      </c>
      <c r="K68" t="s">
        <v>61</v>
      </c>
      <c r="M68" t="s">
        <v>61</v>
      </c>
      <c r="N68" t="s">
        <v>61</v>
      </c>
      <c r="O68" t="s">
        <v>61</v>
      </c>
      <c r="P68">
        <v>4</v>
      </c>
      <c r="Q68">
        <v>9</v>
      </c>
      <c r="R68">
        <v>2</v>
      </c>
      <c r="S68">
        <v>3</v>
      </c>
      <c r="T68" t="s">
        <v>284</v>
      </c>
      <c r="U68" t="s">
        <v>65</v>
      </c>
      <c r="V68" t="s">
        <v>287</v>
      </c>
      <c r="W68">
        <v>15</v>
      </c>
      <c r="X68">
        <v>15</v>
      </c>
      <c r="Y68">
        <v>15</v>
      </c>
      <c r="Z68">
        <v>10</v>
      </c>
      <c r="AA68">
        <v>0</v>
      </c>
      <c r="AB68">
        <v>67</v>
      </c>
      <c r="AC68">
        <v>6</v>
      </c>
      <c r="AD68">
        <v>100</v>
      </c>
      <c r="AE68">
        <v>0</v>
      </c>
      <c r="AF68">
        <v>0</v>
      </c>
      <c r="AG68">
        <v>0</v>
      </c>
      <c r="AH68" t="s">
        <v>284</v>
      </c>
    </row>
    <row r="69" spans="1:34" x14ac:dyDescent="0.25">
      <c r="A69" t="s">
        <v>351</v>
      </c>
      <c r="B69">
        <v>13</v>
      </c>
      <c r="C69">
        <v>5</v>
      </c>
      <c r="D69">
        <v>1650</v>
      </c>
      <c r="E69">
        <v>198000</v>
      </c>
      <c r="F69">
        <v>10</v>
      </c>
      <c r="G69">
        <v>18</v>
      </c>
      <c r="O69" t="s">
        <v>61</v>
      </c>
      <c r="P69">
        <v>1</v>
      </c>
      <c r="Q69">
        <v>25</v>
      </c>
      <c r="R69">
        <v>10</v>
      </c>
      <c r="S69">
        <v>10</v>
      </c>
      <c r="T69" t="s">
        <v>284</v>
      </c>
      <c r="U69" t="s">
        <v>64</v>
      </c>
      <c r="V69" t="s">
        <v>287</v>
      </c>
      <c r="W69">
        <v>5</v>
      </c>
      <c r="X69">
        <v>0</v>
      </c>
      <c r="Y69">
        <v>25</v>
      </c>
      <c r="Z69">
        <v>120</v>
      </c>
      <c r="AA69">
        <v>25</v>
      </c>
      <c r="AB69">
        <v>0</v>
      </c>
      <c r="AC69">
        <v>4</v>
      </c>
      <c r="AD69">
        <v>100</v>
      </c>
      <c r="AE69">
        <v>50</v>
      </c>
      <c r="AF69">
        <v>20</v>
      </c>
      <c r="AG69">
        <v>0</v>
      </c>
      <c r="AH69" t="s">
        <v>284</v>
      </c>
    </row>
    <row r="70" spans="1:34" x14ac:dyDescent="0.25">
      <c r="A70" t="s">
        <v>352</v>
      </c>
      <c r="B70">
        <v>13</v>
      </c>
      <c r="C70">
        <v>150</v>
      </c>
      <c r="D70">
        <v>650</v>
      </c>
      <c r="E70">
        <v>15000</v>
      </c>
      <c r="F70">
        <v>20</v>
      </c>
      <c r="G70">
        <v>8</v>
      </c>
      <c r="J70" t="s">
        <v>61</v>
      </c>
      <c r="M70" t="s">
        <v>61</v>
      </c>
      <c r="N70" t="s">
        <v>61</v>
      </c>
      <c r="O70" t="s">
        <v>61</v>
      </c>
      <c r="P70">
        <v>2</v>
      </c>
      <c r="Q70">
        <v>30</v>
      </c>
      <c r="R70">
        <v>6</v>
      </c>
      <c r="S70" t="s">
        <v>290</v>
      </c>
      <c r="T70" t="s">
        <v>61</v>
      </c>
      <c r="U70" t="s">
        <v>63</v>
      </c>
      <c r="V70" t="s">
        <v>287</v>
      </c>
      <c r="W70">
        <v>15</v>
      </c>
      <c r="X70">
        <v>0</v>
      </c>
      <c r="Y70">
        <v>0</v>
      </c>
      <c r="Z70">
        <v>9</v>
      </c>
      <c r="AA70">
        <v>1</v>
      </c>
      <c r="AB70">
        <v>0</v>
      </c>
      <c r="AC70">
        <v>15</v>
      </c>
      <c r="AD70">
        <v>100</v>
      </c>
      <c r="AE70">
        <v>80</v>
      </c>
      <c r="AF70">
        <v>60</v>
      </c>
      <c r="AG70">
        <v>0</v>
      </c>
      <c r="AH70" t="s">
        <v>61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D68C-E195-48FF-8C49-AAABDA90FA5A}">
  <dimension ref="A1:N32"/>
  <sheetViews>
    <sheetView topLeftCell="C1" workbookViewId="0">
      <selection activeCell="G6" sqref="G6"/>
    </sheetView>
  </sheetViews>
  <sheetFormatPr defaultRowHeight="15" x14ac:dyDescent="0.25"/>
  <cols>
    <col min="1" max="1" width="19.42578125" bestFit="1" customWidth="1"/>
    <col min="2" max="2" width="7.28515625" bestFit="1" customWidth="1"/>
    <col min="3" max="3" width="14.28515625" bestFit="1" customWidth="1"/>
    <col min="4" max="4" width="7.28515625" bestFit="1" customWidth="1"/>
    <col min="5" max="5" width="19.85546875" bestFit="1" customWidth="1"/>
    <col min="6" max="11" width="29.140625" bestFit="1" customWidth="1"/>
    <col min="12" max="13" width="28.28515625" bestFit="1" customWidth="1"/>
    <col min="14" max="14" width="38.5703125" bestFit="1" customWidth="1"/>
  </cols>
  <sheetData>
    <row r="1" spans="1:14" s="1" customFormat="1" ht="78" x14ac:dyDescent="0.25">
      <c r="A1" s="1" t="s">
        <v>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142</v>
      </c>
    </row>
    <row r="2" spans="1:14" x14ac:dyDescent="0.25">
      <c r="A2" t="s">
        <v>379</v>
      </c>
      <c r="B2">
        <v>40</v>
      </c>
      <c r="C2" t="s">
        <v>5</v>
      </c>
      <c r="D2">
        <v>900</v>
      </c>
      <c r="E2" t="s">
        <v>143</v>
      </c>
      <c r="F2" t="s">
        <v>143</v>
      </c>
      <c r="G2" t="s">
        <v>143</v>
      </c>
      <c r="H2" t="s">
        <v>143</v>
      </c>
      <c r="I2" t="s">
        <v>143</v>
      </c>
      <c r="J2" t="s">
        <v>143</v>
      </c>
      <c r="K2" t="s">
        <v>143</v>
      </c>
      <c r="L2" t="s">
        <v>143</v>
      </c>
      <c r="M2" t="s">
        <v>143</v>
      </c>
      <c r="N2" t="s">
        <v>386</v>
      </c>
    </row>
    <row r="3" spans="1:14" x14ac:dyDescent="0.25">
      <c r="A3" t="s">
        <v>390</v>
      </c>
      <c r="B3">
        <v>40</v>
      </c>
      <c r="C3" t="s">
        <v>5</v>
      </c>
      <c r="D3">
        <v>1200</v>
      </c>
      <c r="E3" t="s">
        <v>143</v>
      </c>
      <c r="F3" t="s">
        <v>143</v>
      </c>
      <c r="G3" t="s">
        <v>143</v>
      </c>
      <c r="H3" t="s">
        <v>143</v>
      </c>
      <c r="I3" t="s">
        <v>143</v>
      </c>
      <c r="J3" t="s">
        <v>143</v>
      </c>
      <c r="K3" t="s">
        <v>143</v>
      </c>
      <c r="L3" t="s">
        <v>143</v>
      </c>
      <c r="M3" t="s">
        <v>143</v>
      </c>
      <c r="N3" t="s">
        <v>387</v>
      </c>
    </row>
    <row r="4" spans="1:14" x14ac:dyDescent="0.25">
      <c r="A4" t="s">
        <v>391</v>
      </c>
      <c r="B4">
        <v>40</v>
      </c>
      <c r="C4" t="s">
        <v>5</v>
      </c>
      <c r="D4">
        <v>1200</v>
      </c>
      <c r="E4" t="s">
        <v>143</v>
      </c>
      <c r="F4" t="s">
        <v>143</v>
      </c>
      <c r="G4" t="s">
        <v>143</v>
      </c>
      <c r="H4" t="s">
        <v>143</v>
      </c>
      <c r="I4" t="s">
        <v>143</v>
      </c>
      <c r="J4" t="s">
        <v>143</v>
      </c>
      <c r="K4" t="s">
        <v>143</v>
      </c>
      <c r="L4" t="s">
        <v>143</v>
      </c>
      <c r="M4" t="s">
        <v>143</v>
      </c>
      <c r="N4" t="s">
        <v>388</v>
      </c>
    </row>
    <row r="5" spans="1:14" x14ac:dyDescent="0.25">
      <c r="A5" t="s">
        <v>392</v>
      </c>
      <c r="B5">
        <v>40</v>
      </c>
      <c r="C5" t="s">
        <v>5</v>
      </c>
      <c r="D5">
        <v>1500</v>
      </c>
      <c r="E5" t="s">
        <v>143</v>
      </c>
      <c r="F5" t="s">
        <v>143</v>
      </c>
      <c r="G5" t="s">
        <v>143</v>
      </c>
      <c r="H5" t="s">
        <v>143</v>
      </c>
      <c r="I5" t="s">
        <v>143</v>
      </c>
      <c r="J5" t="s">
        <v>143</v>
      </c>
      <c r="K5" t="s">
        <v>143</v>
      </c>
      <c r="L5" t="s">
        <v>143</v>
      </c>
      <c r="M5" t="s">
        <v>143</v>
      </c>
      <c r="N5" t="s">
        <v>389</v>
      </c>
    </row>
    <row r="6" spans="1:14" x14ac:dyDescent="0.25">
      <c r="A6" t="s">
        <v>393</v>
      </c>
      <c r="B6">
        <v>50</v>
      </c>
      <c r="C6" t="s">
        <v>26</v>
      </c>
      <c r="D6">
        <v>1200</v>
      </c>
      <c r="E6" t="s">
        <v>143</v>
      </c>
      <c r="F6" t="s">
        <v>143</v>
      </c>
      <c r="G6" t="s">
        <v>143</v>
      </c>
      <c r="H6" t="s">
        <v>143</v>
      </c>
      <c r="I6" t="s">
        <v>143</v>
      </c>
      <c r="J6" t="s">
        <v>143</v>
      </c>
      <c r="K6" t="s">
        <v>143</v>
      </c>
      <c r="L6" t="s">
        <v>143</v>
      </c>
      <c r="M6" t="s">
        <v>143</v>
      </c>
      <c r="N6" t="s">
        <v>143</v>
      </c>
    </row>
    <row r="7" spans="1:14" x14ac:dyDescent="0.25">
      <c r="A7" t="s">
        <v>394</v>
      </c>
      <c r="B7" s="4">
        <v>400</v>
      </c>
      <c r="C7" t="s">
        <v>26</v>
      </c>
      <c r="D7">
        <v>600</v>
      </c>
      <c r="E7" t="s">
        <v>143</v>
      </c>
      <c r="F7" t="s">
        <v>143</v>
      </c>
      <c r="G7" t="s">
        <v>143</v>
      </c>
      <c r="H7" t="s">
        <v>143</v>
      </c>
      <c r="I7" t="s">
        <v>143</v>
      </c>
      <c r="J7" t="s">
        <v>143</v>
      </c>
      <c r="K7" t="s">
        <v>143</v>
      </c>
      <c r="L7" t="s">
        <v>143</v>
      </c>
      <c r="M7" t="s">
        <v>143</v>
      </c>
      <c r="N7" t="s">
        <v>388</v>
      </c>
    </row>
    <row r="8" spans="1:14" x14ac:dyDescent="0.25">
      <c r="A8" t="s">
        <v>395</v>
      </c>
      <c r="B8">
        <v>55</v>
      </c>
      <c r="C8" t="s">
        <v>396</v>
      </c>
      <c r="D8">
        <v>600</v>
      </c>
      <c r="E8" t="s">
        <v>143</v>
      </c>
      <c r="F8" t="s">
        <v>143</v>
      </c>
      <c r="G8" t="s">
        <v>143</v>
      </c>
      <c r="H8" t="s">
        <v>143</v>
      </c>
      <c r="I8" t="s">
        <v>143</v>
      </c>
      <c r="J8" t="s">
        <v>143</v>
      </c>
      <c r="K8" t="s">
        <v>143</v>
      </c>
      <c r="L8" t="s">
        <v>143</v>
      </c>
      <c r="M8" t="s">
        <v>143</v>
      </c>
      <c r="N8" t="s">
        <v>143</v>
      </c>
    </row>
    <row r="9" spans="1:14" x14ac:dyDescent="0.25">
      <c r="A9" t="s">
        <v>397</v>
      </c>
      <c r="B9">
        <v>40</v>
      </c>
      <c r="C9" t="s">
        <v>26</v>
      </c>
      <c r="D9">
        <v>600</v>
      </c>
      <c r="E9" t="s">
        <v>143</v>
      </c>
      <c r="F9" t="s">
        <v>143</v>
      </c>
      <c r="G9" t="s">
        <v>143</v>
      </c>
      <c r="H9" t="s">
        <v>143</v>
      </c>
      <c r="I9" t="s">
        <v>143</v>
      </c>
      <c r="J9" t="s">
        <v>143</v>
      </c>
      <c r="K9" t="s">
        <v>143</v>
      </c>
      <c r="L9" t="s">
        <v>143</v>
      </c>
      <c r="M9" t="s">
        <v>143</v>
      </c>
      <c r="N9" t="s">
        <v>401</v>
      </c>
    </row>
    <row r="10" spans="1:14" x14ac:dyDescent="0.25">
      <c r="A10" t="s">
        <v>398</v>
      </c>
      <c r="B10">
        <v>40</v>
      </c>
      <c r="C10" t="s">
        <v>26</v>
      </c>
      <c r="D10">
        <v>900</v>
      </c>
      <c r="E10" t="s">
        <v>143</v>
      </c>
      <c r="F10" t="s">
        <v>143</v>
      </c>
      <c r="G10" t="s">
        <v>143</v>
      </c>
      <c r="H10" t="s">
        <v>143</v>
      </c>
      <c r="I10" t="s">
        <v>143</v>
      </c>
      <c r="J10" t="s">
        <v>143</v>
      </c>
      <c r="K10" t="s">
        <v>143</v>
      </c>
      <c r="L10" t="s">
        <v>143</v>
      </c>
      <c r="M10" t="s">
        <v>143</v>
      </c>
      <c r="N10" t="s">
        <v>386</v>
      </c>
    </row>
    <row r="11" spans="1:14" x14ac:dyDescent="0.25">
      <c r="A11" t="s">
        <v>399</v>
      </c>
      <c r="B11">
        <v>40</v>
      </c>
      <c r="C11" t="s">
        <v>26</v>
      </c>
      <c r="D11">
        <v>1200</v>
      </c>
      <c r="E11" t="s">
        <v>143</v>
      </c>
      <c r="F11" t="s">
        <v>143</v>
      </c>
      <c r="G11" t="s">
        <v>143</v>
      </c>
      <c r="H11" t="s">
        <v>143</v>
      </c>
      <c r="I11" t="s">
        <v>143</v>
      </c>
      <c r="J11" t="s">
        <v>143</v>
      </c>
      <c r="K11" t="s">
        <v>143</v>
      </c>
      <c r="L11" t="s">
        <v>143</v>
      </c>
      <c r="M11" t="s">
        <v>143</v>
      </c>
      <c r="N11" t="s">
        <v>387</v>
      </c>
    </row>
    <row r="12" spans="1:14" x14ac:dyDescent="0.25">
      <c r="A12" t="s">
        <v>400</v>
      </c>
      <c r="B12">
        <v>40</v>
      </c>
      <c r="C12" t="s">
        <v>26</v>
      </c>
      <c r="D12">
        <v>1500</v>
      </c>
      <c r="E12" t="s">
        <v>143</v>
      </c>
      <c r="F12" t="s">
        <v>143</v>
      </c>
      <c r="G12" t="s">
        <v>143</v>
      </c>
      <c r="H12" t="s">
        <v>143</v>
      </c>
      <c r="I12" t="s">
        <v>143</v>
      </c>
      <c r="J12" t="s">
        <v>143</v>
      </c>
      <c r="K12" t="s">
        <v>143</v>
      </c>
      <c r="L12" t="s">
        <v>143</v>
      </c>
      <c r="M12" t="s">
        <v>143</v>
      </c>
      <c r="N12" t="s">
        <v>388</v>
      </c>
    </row>
    <row r="13" spans="1:14" x14ac:dyDescent="0.25">
      <c r="A13" t="s">
        <v>402</v>
      </c>
      <c r="B13">
        <v>50</v>
      </c>
      <c r="C13" t="s">
        <v>26</v>
      </c>
      <c r="D13">
        <v>900</v>
      </c>
      <c r="E13" t="s">
        <v>143</v>
      </c>
      <c r="F13" t="s">
        <v>143</v>
      </c>
      <c r="G13" t="s">
        <v>143</v>
      </c>
      <c r="H13" t="s">
        <v>143</v>
      </c>
      <c r="I13" t="s">
        <v>143</v>
      </c>
      <c r="J13" t="s">
        <v>143</v>
      </c>
      <c r="K13" t="s">
        <v>143</v>
      </c>
      <c r="L13" t="s">
        <v>143</v>
      </c>
      <c r="M13" t="s">
        <v>143</v>
      </c>
      <c r="N13" t="s">
        <v>407</v>
      </c>
    </row>
    <row r="14" spans="1:14" x14ac:dyDescent="0.25">
      <c r="A14" t="s">
        <v>403</v>
      </c>
      <c r="B14">
        <v>50</v>
      </c>
      <c r="C14" t="s">
        <v>26</v>
      </c>
      <c r="D14">
        <v>1200</v>
      </c>
      <c r="E14" t="s">
        <v>143</v>
      </c>
      <c r="F14" t="s">
        <v>143</v>
      </c>
      <c r="G14" t="s">
        <v>143</v>
      </c>
      <c r="H14" t="s">
        <v>143</v>
      </c>
      <c r="I14" t="s">
        <v>143</v>
      </c>
      <c r="J14" t="s">
        <v>143</v>
      </c>
      <c r="K14" t="s">
        <v>143</v>
      </c>
      <c r="L14" t="s">
        <v>143</v>
      </c>
      <c r="M14" t="s">
        <v>143</v>
      </c>
      <c r="N14" t="s">
        <v>408</v>
      </c>
    </row>
    <row r="15" spans="1:14" x14ac:dyDescent="0.25">
      <c r="A15" t="s">
        <v>404</v>
      </c>
      <c r="B15">
        <v>50</v>
      </c>
      <c r="C15" t="s">
        <v>26</v>
      </c>
      <c r="D15">
        <v>1500</v>
      </c>
      <c r="E15" t="s">
        <v>143</v>
      </c>
      <c r="F15" t="s">
        <v>143</v>
      </c>
      <c r="G15" t="s">
        <v>143</v>
      </c>
      <c r="H15" t="s">
        <v>143</v>
      </c>
      <c r="I15" t="s">
        <v>143</v>
      </c>
      <c r="J15" t="s">
        <v>143</v>
      </c>
      <c r="K15" t="s">
        <v>143</v>
      </c>
      <c r="L15" t="s">
        <v>143</v>
      </c>
      <c r="M15" t="s">
        <v>143</v>
      </c>
      <c r="N15" t="s">
        <v>409</v>
      </c>
    </row>
    <row r="16" spans="1:14" x14ac:dyDescent="0.25">
      <c r="A16" t="s">
        <v>405</v>
      </c>
      <c r="B16">
        <v>50</v>
      </c>
      <c r="C16" t="s">
        <v>26</v>
      </c>
      <c r="D16">
        <v>1500</v>
      </c>
      <c r="E16" t="s">
        <v>143</v>
      </c>
      <c r="F16" t="s">
        <v>143</v>
      </c>
      <c r="G16" t="s">
        <v>143</v>
      </c>
      <c r="H16" t="s">
        <v>143</v>
      </c>
      <c r="I16" t="s">
        <v>143</v>
      </c>
      <c r="J16" t="s">
        <v>143</v>
      </c>
      <c r="K16" t="s">
        <v>143</v>
      </c>
      <c r="L16" t="s">
        <v>143</v>
      </c>
      <c r="M16" t="s">
        <v>143</v>
      </c>
      <c r="N16" t="s">
        <v>410</v>
      </c>
    </row>
    <row r="17" spans="1:14" x14ac:dyDescent="0.25">
      <c r="A17" t="s">
        <v>406</v>
      </c>
      <c r="B17">
        <v>50</v>
      </c>
      <c r="C17" t="s">
        <v>26</v>
      </c>
      <c r="D17">
        <v>1500</v>
      </c>
      <c r="E17" t="s">
        <v>143</v>
      </c>
      <c r="F17" t="s">
        <v>143</v>
      </c>
      <c r="G17" t="s">
        <v>143</v>
      </c>
      <c r="H17" t="s">
        <v>143</v>
      </c>
      <c r="I17" t="s">
        <v>143</v>
      </c>
      <c r="J17" t="s">
        <v>143</v>
      </c>
      <c r="K17" t="s">
        <v>143</v>
      </c>
      <c r="L17" t="s">
        <v>143</v>
      </c>
      <c r="M17" t="s">
        <v>143</v>
      </c>
      <c r="N17" t="s">
        <v>411</v>
      </c>
    </row>
    <row r="18" spans="1:14" x14ac:dyDescent="0.25">
      <c r="A18" t="s">
        <v>412</v>
      </c>
      <c r="B18">
        <v>50</v>
      </c>
      <c r="C18" t="s">
        <v>26</v>
      </c>
      <c r="D18">
        <v>300</v>
      </c>
      <c r="E18" t="s">
        <v>269</v>
      </c>
      <c r="F18" t="s">
        <v>419</v>
      </c>
      <c r="G18" t="s">
        <v>419</v>
      </c>
      <c r="H18" t="s">
        <v>420</v>
      </c>
      <c r="I18" t="s">
        <v>420</v>
      </c>
      <c r="J18" t="s">
        <v>143</v>
      </c>
      <c r="K18" t="s">
        <v>143</v>
      </c>
      <c r="L18" t="s">
        <v>143</v>
      </c>
      <c r="M18" t="s">
        <v>143</v>
      </c>
      <c r="N18" t="s">
        <v>143</v>
      </c>
    </row>
    <row r="19" spans="1:14" x14ac:dyDescent="0.25">
      <c r="A19" t="s">
        <v>413</v>
      </c>
      <c r="B19">
        <v>50</v>
      </c>
      <c r="C19" t="s">
        <v>26</v>
      </c>
      <c r="D19">
        <v>1500</v>
      </c>
      <c r="E19" t="s">
        <v>418</v>
      </c>
      <c r="F19" t="s">
        <v>421</v>
      </c>
      <c r="G19" t="s">
        <v>421</v>
      </c>
      <c r="H19" t="s">
        <v>420</v>
      </c>
      <c r="I19" t="s">
        <v>420</v>
      </c>
      <c r="J19" t="s">
        <v>143</v>
      </c>
      <c r="K19" t="s">
        <v>143</v>
      </c>
      <c r="L19" t="s">
        <v>143</v>
      </c>
      <c r="M19" t="s">
        <v>143</v>
      </c>
      <c r="N19" t="s">
        <v>143</v>
      </c>
    </row>
    <row r="20" spans="1:14" x14ac:dyDescent="0.25">
      <c r="A20" t="s">
        <v>414</v>
      </c>
      <c r="B20">
        <v>50</v>
      </c>
      <c r="C20" t="s">
        <v>26</v>
      </c>
      <c r="D20">
        <v>2400</v>
      </c>
      <c r="E20" t="s">
        <v>275</v>
      </c>
      <c r="F20" t="s">
        <v>422</v>
      </c>
      <c r="G20" t="s">
        <v>422</v>
      </c>
      <c r="H20" t="s">
        <v>423</v>
      </c>
      <c r="I20" t="s">
        <v>423</v>
      </c>
      <c r="J20" t="s">
        <v>143</v>
      </c>
      <c r="K20" t="s">
        <v>143</v>
      </c>
      <c r="L20" t="s">
        <v>143</v>
      </c>
      <c r="M20" t="s">
        <v>143</v>
      </c>
      <c r="N20" t="s">
        <v>143</v>
      </c>
    </row>
    <row r="21" spans="1:14" x14ac:dyDescent="0.25">
      <c r="A21" t="s">
        <v>415</v>
      </c>
      <c r="B21">
        <v>50</v>
      </c>
      <c r="C21" t="s">
        <v>26</v>
      </c>
      <c r="D21">
        <v>2850</v>
      </c>
      <c r="E21" t="s">
        <v>276</v>
      </c>
      <c r="F21" t="s">
        <v>424</v>
      </c>
      <c r="G21" t="s">
        <v>424</v>
      </c>
      <c r="H21" t="s">
        <v>424</v>
      </c>
      <c r="I21" t="s">
        <v>424</v>
      </c>
      <c r="J21" t="s">
        <v>143</v>
      </c>
      <c r="K21" t="s">
        <v>143</v>
      </c>
      <c r="L21" t="s">
        <v>143</v>
      </c>
      <c r="M21" t="s">
        <v>143</v>
      </c>
      <c r="N21" t="s">
        <v>143</v>
      </c>
    </row>
    <row r="22" spans="1:14" x14ac:dyDescent="0.25">
      <c r="A22" t="s">
        <v>416</v>
      </c>
      <c r="B22">
        <v>50</v>
      </c>
      <c r="C22" t="s">
        <v>26</v>
      </c>
      <c r="D22">
        <v>3900</v>
      </c>
      <c r="E22" t="s">
        <v>417</v>
      </c>
      <c r="F22" t="s">
        <v>424</v>
      </c>
      <c r="G22" t="s">
        <v>424</v>
      </c>
      <c r="H22" t="s">
        <v>424</v>
      </c>
      <c r="I22" t="s">
        <v>424</v>
      </c>
      <c r="J22" t="s">
        <v>424</v>
      </c>
      <c r="K22" t="s">
        <v>424</v>
      </c>
      <c r="L22" t="s">
        <v>143</v>
      </c>
      <c r="M22" t="s">
        <v>143</v>
      </c>
      <c r="N22" t="s">
        <v>143</v>
      </c>
    </row>
    <row r="23" spans="1:14" x14ac:dyDescent="0.25">
      <c r="A23" t="s">
        <v>425</v>
      </c>
      <c r="B23">
        <v>40</v>
      </c>
      <c r="C23" t="s">
        <v>26</v>
      </c>
      <c r="D23">
        <v>300</v>
      </c>
      <c r="E23" t="s">
        <v>269</v>
      </c>
      <c r="F23" t="s">
        <v>434</v>
      </c>
      <c r="G23" t="s">
        <v>434</v>
      </c>
      <c r="H23" t="s">
        <v>143</v>
      </c>
      <c r="I23" t="s">
        <v>143</v>
      </c>
      <c r="J23" t="s">
        <v>143</v>
      </c>
      <c r="K23" t="s">
        <v>143</v>
      </c>
      <c r="L23" t="s">
        <v>143</v>
      </c>
      <c r="M23" t="s">
        <v>143</v>
      </c>
      <c r="N23" t="s">
        <v>143</v>
      </c>
    </row>
    <row r="24" spans="1:14" x14ac:dyDescent="0.25">
      <c r="A24" t="s">
        <v>426</v>
      </c>
      <c r="B24">
        <v>40</v>
      </c>
      <c r="C24" t="s">
        <v>26</v>
      </c>
      <c r="D24">
        <v>900</v>
      </c>
      <c r="E24" t="s">
        <v>269</v>
      </c>
      <c r="F24" t="s">
        <v>306</v>
      </c>
      <c r="G24" t="s">
        <v>306</v>
      </c>
      <c r="H24" t="s">
        <v>306</v>
      </c>
      <c r="I24" t="s">
        <v>306</v>
      </c>
      <c r="J24" t="s">
        <v>433</v>
      </c>
      <c r="K24" t="s">
        <v>433</v>
      </c>
      <c r="L24" t="s">
        <v>143</v>
      </c>
      <c r="M24" t="s">
        <v>143</v>
      </c>
      <c r="N24" t="s">
        <v>143</v>
      </c>
    </row>
    <row r="25" spans="1:14" x14ac:dyDescent="0.25">
      <c r="A25" t="s">
        <v>427</v>
      </c>
      <c r="B25">
        <v>40</v>
      </c>
      <c r="C25" t="s">
        <v>26</v>
      </c>
      <c r="D25">
        <v>1200</v>
      </c>
      <c r="E25" t="s">
        <v>269</v>
      </c>
      <c r="F25" t="s">
        <v>432</v>
      </c>
      <c r="G25" t="s">
        <v>432</v>
      </c>
      <c r="H25" t="s">
        <v>432</v>
      </c>
      <c r="I25" t="s">
        <v>432</v>
      </c>
      <c r="J25" t="s">
        <v>431</v>
      </c>
      <c r="K25" t="s">
        <v>431</v>
      </c>
      <c r="L25" t="s">
        <v>143</v>
      </c>
      <c r="M25" t="s">
        <v>143</v>
      </c>
      <c r="N25" t="s">
        <v>143</v>
      </c>
    </row>
    <row r="26" spans="1:14" x14ac:dyDescent="0.25">
      <c r="A26" t="s">
        <v>428</v>
      </c>
      <c r="B26">
        <v>40</v>
      </c>
      <c r="C26" t="s">
        <v>26</v>
      </c>
      <c r="D26">
        <v>900</v>
      </c>
      <c r="E26" t="s">
        <v>269</v>
      </c>
      <c r="F26" t="s">
        <v>432</v>
      </c>
      <c r="G26" t="s">
        <v>432</v>
      </c>
      <c r="H26" t="s">
        <v>432</v>
      </c>
      <c r="I26" t="s">
        <v>432</v>
      </c>
      <c r="J26" t="s">
        <v>431</v>
      </c>
      <c r="K26" t="s">
        <v>431</v>
      </c>
      <c r="L26" t="s">
        <v>143</v>
      </c>
      <c r="M26" t="s">
        <v>143</v>
      </c>
      <c r="N26" t="s">
        <v>143</v>
      </c>
    </row>
    <row r="27" spans="1:14" x14ac:dyDescent="0.25">
      <c r="A27" t="s">
        <v>429</v>
      </c>
      <c r="B27">
        <v>40</v>
      </c>
      <c r="C27" t="s">
        <v>26</v>
      </c>
      <c r="D27">
        <v>2400</v>
      </c>
      <c r="E27" t="s">
        <v>270</v>
      </c>
      <c r="F27" t="s">
        <v>430</v>
      </c>
      <c r="G27" t="s">
        <v>430</v>
      </c>
      <c r="H27" t="s">
        <v>430</v>
      </c>
      <c r="I27" t="s">
        <v>430</v>
      </c>
      <c r="J27" t="s">
        <v>143</v>
      </c>
      <c r="K27" t="s">
        <v>143</v>
      </c>
      <c r="L27" t="s">
        <v>143</v>
      </c>
      <c r="M27" t="s">
        <v>143</v>
      </c>
      <c r="N27" t="s">
        <v>143</v>
      </c>
    </row>
    <row r="28" spans="1:14" x14ac:dyDescent="0.25">
      <c r="A28" t="s">
        <v>435</v>
      </c>
      <c r="B28">
        <v>70</v>
      </c>
      <c r="C28" t="s">
        <v>26</v>
      </c>
      <c r="D28">
        <v>600</v>
      </c>
      <c r="E28" t="s">
        <v>269</v>
      </c>
      <c r="F28" t="s">
        <v>434</v>
      </c>
      <c r="G28" t="s">
        <v>434</v>
      </c>
      <c r="H28" t="s">
        <v>289</v>
      </c>
      <c r="I28" t="s">
        <v>289</v>
      </c>
      <c r="J28" t="s">
        <v>289</v>
      </c>
      <c r="K28" t="s">
        <v>289</v>
      </c>
      <c r="L28" t="s">
        <v>143</v>
      </c>
      <c r="M28" t="s">
        <v>143</v>
      </c>
      <c r="N28" t="s">
        <v>143</v>
      </c>
    </row>
    <row r="29" spans="1:14" x14ac:dyDescent="0.25">
      <c r="A29" t="s">
        <v>436</v>
      </c>
      <c r="B29">
        <v>70</v>
      </c>
      <c r="C29" t="s">
        <v>26</v>
      </c>
      <c r="D29">
        <v>1200</v>
      </c>
      <c r="E29" t="s">
        <v>270</v>
      </c>
      <c r="F29" t="s">
        <v>306</v>
      </c>
      <c r="G29" t="s">
        <v>306</v>
      </c>
      <c r="H29" t="s">
        <v>440</v>
      </c>
      <c r="I29" t="s">
        <v>440</v>
      </c>
      <c r="J29" t="s">
        <v>440</v>
      </c>
      <c r="K29" t="s">
        <v>440</v>
      </c>
      <c r="L29" t="s">
        <v>143</v>
      </c>
      <c r="M29" t="s">
        <v>143</v>
      </c>
      <c r="N29" t="s">
        <v>143</v>
      </c>
    </row>
    <row r="30" spans="1:14" x14ac:dyDescent="0.25">
      <c r="A30" t="s">
        <v>437</v>
      </c>
      <c r="B30">
        <v>70</v>
      </c>
      <c r="C30" t="s">
        <v>26</v>
      </c>
      <c r="D30">
        <v>1500</v>
      </c>
      <c r="E30" t="s">
        <v>269</v>
      </c>
      <c r="F30" t="s">
        <v>338</v>
      </c>
      <c r="G30" t="s">
        <v>338</v>
      </c>
      <c r="H30" t="s">
        <v>324</v>
      </c>
      <c r="I30" t="s">
        <v>324</v>
      </c>
      <c r="J30" t="s">
        <v>324</v>
      </c>
      <c r="K30" t="s">
        <v>324</v>
      </c>
      <c r="L30" t="s">
        <v>143</v>
      </c>
      <c r="M30" t="s">
        <v>143</v>
      </c>
      <c r="N30" t="s">
        <v>143</v>
      </c>
    </row>
    <row r="31" spans="1:14" x14ac:dyDescent="0.25">
      <c r="A31" t="s">
        <v>438</v>
      </c>
      <c r="B31">
        <v>70</v>
      </c>
      <c r="C31" t="s">
        <v>26</v>
      </c>
      <c r="D31">
        <v>1950</v>
      </c>
      <c r="E31" t="s">
        <v>417</v>
      </c>
      <c r="F31" t="s">
        <v>329</v>
      </c>
      <c r="G31" t="s">
        <v>329</v>
      </c>
      <c r="H31" t="s">
        <v>329</v>
      </c>
      <c r="I31" t="s">
        <v>329</v>
      </c>
      <c r="J31" t="s">
        <v>329</v>
      </c>
      <c r="K31" t="s">
        <v>329</v>
      </c>
      <c r="L31" t="s">
        <v>329</v>
      </c>
      <c r="M31" t="s">
        <v>329</v>
      </c>
      <c r="N31" t="s">
        <v>143</v>
      </c>
    </row>
    <row r="32" spans="1:14" x14ac:dyDescent="0.25">
      <c r="A32" t="s">
        <v>439</v>
      </c>
      <c r="B32">
        <v>70</v>
      </c>
      <c r="C32" t="s">
        <v>26</v>
      </c>
      <c r="D32">
        <v>2400</v>
      </c>
      <c r="E32" t="s">
        <v>278</v>
      </c>
      <c r="F32" t="s">
        <v>424</v>
      </c>
      <c r="G32" t="s">
        <v>424</v>
      </c>
      <c r="H32" t="s">
        <v>329</v>
      </c>
      <c r="I32" t="s">
        <v>329</v>
      </c>
      <c r="J32" t="s">
        <v>329</v>
      </c>
      <c r="K32" t="s">
        <v>329</v>
      </c>
      <c r="L32" t="s">
        <v>329</v>
      </c>
      <c r="M32" t="s">
        <v>329</v>
      </c>
      <c r="N32" t="s">
        <v>143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FBB5-06E8-4740-BD0D-941ABD97BB5C}">
  <dimension ref="A1:V52"/>
  <sheetViews>
    <sheetView workbookViewId="0">
      <selection activeCell="N5" sqref="N5"/>
    </sheetView>
  </sheetViews>
  <sheetFormatPr defaultRowHeight="15" x14ac:dyDescent="0.25"/>
  <cols>
    <col min="1" max="1" width="12" bestFit="1" customWidth="1"/>
    <col min="2" max="3" width="7.28515625" bestFit="1" customWidth="1"/>
    <col min="4" max="4" width="15.7109375" bestFit="1" customWidth="1"/>
    <col min="5" max="5" width="7.28515625" bestFit="1" customWidth="1"/>
    <col min="6" max="6" width="7.28515625" style="5" bestFit="1" customWidth="1"/>
    <col min="7" max="7" width="7.28515625" bestFit="1" customWidth="1"/>
    <col min="8" max="8" width="14.28515625" bestFit="1" customWidth="1"/>
    <col min="9" max="9" width="10.7109375" bestFit="1" customWidth="1"/>
    <col min="10" max="10" width="21.140625" bestFit="1" customWidth="1"/>
    <col min="11" max="11" width="7.28515625" bestFit="1" customWidth="1"/>
    <col min="12" max="12" width="13.7109375" bestFit="1" customWidth="1"/>
    <col min="13" max="15" width="28.42578125" bestFit="1" customWidth="1"/>
    <col min="16" max="16" width="27.5703125" bestFit="1" customWidth="1"/>
    <col min="17" max="18" width="28.28515625" bestFit="1" customWidth="1"/>
    <col min="19" max="20" width="30" bestFit="1" customWidth="1"/>
    <col min="21" max="21" width="23.42578125" bestFit="1" customWidth="1"/>
    <col min="22" max="22" width="13.5703125" bestFit="1" customWidth="1"/>
  </cols>
  <sheetData>
    <row r="1" spans="1:22" s="1" customFormat="1" ht="82.5" x14ac:dyDescent="0.25">
      <c r="A1" s="1" t="s">
        <v>0</v>
      </c>
      <c r="B1" s="1" t="s">
        <v>448</v>
      </c>
      <c r="C1" s="1" t="s">
        <v>62</v>
      </c>
      <c r="D1" s="1" t="s">
        <v>460</v>
      </c>
      <c r="E1" s="1" t="s">
        <v>449</v>
      </c>
      <c r="F1" s="6" t="s">
        <v>450</v>
      </c>
      <c r="G1" s="1" t="s">
        <v>380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385</v>
      </c>
      <c r="N1" s="1" t="s">
        <v>441</v>
      </c>
      <c r="O1" s="1" t="s">
        <v>442</v>
      </c>
      <c r="P1" s="1" t="s">
        <v>443</v>
      </c>
      <c r="Q1" s="1" t="s">
        <v>444</v>
      </c>
      <c r="R1" s="1" t="s">
        <v>445</v>
      </c>
      <c r="S1" s="1" t="s">
        <v>446</v>
      </c>
      <c r="T1" s="1" t="s">
        <v>447</v>
      </c>
      <c r="U1" s="1" t="s">
        <v>533</v>
      </c>
      <c r="V1" s="1" t="s">
        <v>540</v>
      </c>
    </row>
    <row r="2" spans="1:22" x14ac:dyDescent="0.25">
      <c r="A2" t="s">
        <v>459</v>
      </c>
      <c r="B2">
        <v>306</v>
      </c>
      <c r="C2">
        <v>94</v>
      </c>
      <c r="D2">
        <v>0</v>
      </c>
      <c r="E2">
        <v>2</v>
      </c>
      <c r="F2" s="5">
        <v>4</v>
      </c>
      <c r="G2">
        <v>80</v>
      </c>
      <c r="H2" t="s">
        <v>24</v>
      </c>
      <c r="I2" t="s">
        <v>2</v>
      </c>
      <c r="J2" t="s">
        <v>220</v>
      </c>
      <c r="K2">
        <v>300</v>
      </c>
      <c r="L2" t="s">
        <v>270</v>
      </c>
      <c r="M2" t="s">
        <v>458</v>
      </c>
      <c r="N2" t="s">
        <v>458</v>
      </c>
      <c r="O2" t="s">
        <v>457</v>
      </c>
      <c r="P2" t="s">
        <v>457</v>
      </c>
      <c r="Q2" t="s">
        <v>143</v>
      </c>
      <c r="R2" t="s">
        <v>143</v>
      </c>
      <c r="S2" t="s">
        <v>143</v>
      </c>
      <c r="T2" t="s">
        <v>143</v>
      </c>
      <c r="U2" t="s">
        <v>143</v>
      </c>
      <c r="V2" t="s">
        <v>456</v>
      </c>
    </row>
    <row r="3" spans="1:22" x14ac:dyDescent="0.25">
      <c r="A3" t="s">
        <v>461</v>
      </c>
      <c r="B3">
        <v>323</v>
      </c>
      <c r="C3">
        <v>93</v>
      </c>
      <c r="D3">
        <v>3</v>
      </c>
      <c r="E3">
        <v>2</v>
      </c>
      <c r="F3" s="5">
        <v>4</v>
      </c>
      <c r="G3">
        <v>80</v>
      </c>
      <c r="H3" t="s">
        <v>24</v>
      </c>
      <c r="I3" t="s">
        <v>2</v>
      </c>
      <c r="J3" t="s">
        <v>220</v>
      </c>
      <c r="K3">
        <v>300</v>
      </c>
      <c r="L3" t="s">
        <v>271</v>
      </c>
      <c r="M3" t="s">
        <v>305</v>
      </c>
      <c r="N3" t="s">
        <v>305</v>
      </c>
      <c r="O3" t="s">
        <v>314</v>
      </c>
      <c r="P3" t="s">
        <v>314</v>
      </c>
      <c r="Q3" t="s">
        <v>143</v>
      </c>
      <c r="R3" t="s">
        <v>143</v>
      </c>
      <c r="S3" t="s">
        <v>143</v>
      </c>
      <c r="T3" t="s">
        <v>143</v>
      </c>
      <c r="U3" t="s">
        <v>143</v>
      </c>
      <c r="V3" t="s">
        <v>456</v>
      </c>
    </row>
    <row r="4" spans="1:22" x14ac:dyDescent="0.25">
      <c r="A4" t="s">
        <v>462</v>
      </c>
      <c r="B4">
        <v>475</v>
      </c>
      <c r="C4">
        <v>116</v>
      </c>
      <c r="D4">
        <v>5</v>
      </c>
      <c r="E4">
        <v>2</v>
      </c>
      <c r="F4" s="5">
        <v>4</v>
      </c>
      <c r="G4">
        <v>80</v>
      </c>
      <c r="H4" t="s">
        <v>24</v>
      </c>
      <c r="I4" t="s">
        <v>2</v>
      </c>
      <c r="J4" t="s">
        <v>226</v>
      </c>
      <c r="K4">
        <v>300</v>
      </c>
      <c r="L4" t="s">
        <v>271</v>
      </c>
      <c r="M4" t="s">
        <v>315</v>
      </c>
      <c r="N4" t="s">
        <v>315</v>
      </c>
      <c r="O4" t="s">
        <v>314</v>
      </c>
      <c r="P4" t="s">
        <v>314</v>
      </c>
      <c r="Q4" t="s">
        <v>143</v>
      </c>
      <c r="R4" t="s">
        <v>143</v>
      </c>
      <c r="S4" t="s">
        <v>143</v>
      </c>
      <c r="T4" t="s">
        <v>143</v>
      </c>
      <c r="U4" t="s">
        <v>143</v>
      </c>
      <c r="V4" t="s">
        <v>456</v>
      </c>
    </row>
    <row r="5" spans="1:22" x14ac:dyDescent="0.25">
      <c r="A5" t="s">
        <v>463</v>
      </c>
      <c r="B5">
        <v>384</v>
      </c>
      <c r="C5">
        <v>116</v>
      </c>
      <c r="D5">
        <v>8</v>
      </c>
      <c r="E5">
        <v>3</v>
      </c>
      <c r="F5" s="5">
        <v>5</v>
      </c>
      <c r="G5">
        <v>80</v>
      </c>
      <c r="H5" t="s">
        <v>5</v>
      </c>
      <c r="I5" t="s">
        <v>2</v>
      </c>
      <c r="J5" t="s">
        <v>226</v>
      </c>
      <c r="K5">
        <v>600</v>
      </c>
      <c r="L5" t="s">
        <v>271</v>
      </c>
      <c r="M5" t="s">
        <v>467</v>
      </c>
      <c r="N5" t="s">
        <v>467</v>
      </c>
      <c r="O5" t="s">
        <v>431</v>
      </c>
      <c r="P5" t="s">
        <v>431</v>
      </c>
      <c r="Q5" t="s">
        <v>143</v>
      </c>
      <c r="R5" t="s">
        <v>143</v>
      </c>
      <c r="S5" t="s">
        <v>143</v>
      </c>
      <c r="T5" t="s">
        <v>143</v>
      </c>
      <c r="U5" t="s">
        <v>143</v>
      </c>
      <c r="V5" t="s">
        <v>456</v>
      </c>
    </row>
    <row r="6" spans="1:22" x14ac:dyDescent="0.25">
      <c r="A6" t="s">
        <v>464</v>
      </c>
      <c r="B6">
        <v>478</v>
      </c>
      <c r="C6">
        <v>135</v>
      </c>
      <c r="D6">
        <v>12</v>
      </c>
      <c r="E6">
        <v>2</v>
      </c>
      <c r="F6" s="5">
        <v>4</v>
      </c>
      <c r="G6">
        <v>80</v>
      </c>
      <c r="H6" t="s">
        <v>13</v>
      </c>
      <c r="I6" t="s">
        <v>46</v>
      </c>
      <c r="J6" t="s">
        <v>468</v>
      </c>
      <c r="K6">
        <v>600</v>
      </c>
      <c r="L6" t="s">
        <v>271</v>
      </c>
      <c r="M6" t="s">
        <v>338</v>
      </c>
      <c r="N6" t="s">
        <v>338</v>
      </c>
      <c r="O6" t="s">
        <v>304</v>
      </c>
      <c r="P6" t="s">
        <v>304</v>
      </c>
      <c r="Q6" t="s">
        <v>143</v>
      </c>
      <c r="R6" t="s">
        <v>143</v>
      </c>
      <c r="S6" t="s">
        <v>143</v>
      </c>
      <c r="T6" t="s">
        <v>143</v>
      </c>
      <c r="U6" t="s">
        <v>143</v>
      </c>
      <c r="V6" t="s">
        <v>456</v>
      </c>
    </row>
    <row r="7" spans="1:22" x14ac:dyDescent="0.25">
      <c r="A7" t="s">
        <v>465</v>
      </c>
      <c r="B7">
        <v>478</v>
      </c>
      <c r="C7">
        <v>135</v>
      </c>
      <c r="D7" t="s">
        <v>469</v>
      </c>
      <c r="E7">
        <v>2</v>
      </c>
      <c r="F7" s="5">
        <v>4</v>
      </c>
      <c r="G7">
        <v>80</v>
      </c>
      <c r="H7" t="s">
        <v>6</v>
      </c>
      <c r="I7" t="s">
        <v>46</v>
      </c>
      <c r="J7" t="s">
        <v>468</v>
      </c>
      <c r="K7">
        <v>900</v>
      </c>
      <c r="L7" t="s">
        <v>271</v>
      </c>
      <c r="M7" t="s">
        <v>340</v>
      </c>
      <c r="N7" t="s">
        <v>340</v>
      </c>
      <c r="O7" t="s">
        <v>466</v>
      </c>
      <c r="P7" t="s">
        <v>466</v>
      </c>
      <c r="Q7" t="s">
        <v>143</v>
      </c>
      <c r="R7" t="s">
        <v>143</v>
      </c>
      <c r="S7" t="s">
        <v>143</v>
      </c>
      <c r="T7" t="s">
        <v>143</v>
      </c>
      <c r="U7" t="s">
        <v>143</v>
      </c>
      <c r="V7" t="s">
        <v>456</v>
      </c>
    </row>
    <row r="8" spans="1:22" x14ac:dyDescent="0.25">
      <c r="A8" t="s">
        <v>470</v>
      </c>
      <c r="B8">
        <v>222</v>
      </c>
      <c r="C8">
        <v>87</v>
      </c>
      <c r="D8">
        <v>1</v>
      </c>
      <c r="E8">
        <v>3</v>
      </c>
      <c r="F8" s="5">
        <v>5</v>
      </c>
      <c r="G8">
        <v>72</v>
      </c>
      <c r="H8" t="s">
        <v>25</v>
      </c>
      <c r="I8" t="s">
        <v>46</v>
      </c>
      <c r="J8" t="s">
        <v>220</v>
      </c>
      <c r="K8">
        <v>900</v>
      </c>
      <c r="L8" t="s">
        <v>270</v>
      </c>
      <c r="M8" t="s">
        <v>419</v>
      </c>
      <c r="N8" t="s">
        <v>419</v>
      </c>
      <c r="O8" t="s">
        <v>289</v>
      </c>
      <c r="P8" t="s">
        <v>289</v>
      </c>
      <c r="Q8" t="s">
        <v>143</v>
      </c>
      <c r="R8" t="s">
        <v>143</v>
      </c>
      <c r="S8" t="s">
        <v>143</v>
      </c>
      <c r="T8" t="s">
        <v>143</v>
      </c>
      <c r="U8" t="s">
        <v>143</v>
      </c>
      <c r="V8" t="s">
        <v>456</v>
      </c>
    </row>
    <row r="9" spans="1:22" x14ac:dyDescent="0.25">
      <c r="A9" t="s">
        <v>471</v>
      </c>
      <c r="B9">
        <v>219</v>
      </c>
      <c r="C9">
        <v>89</v>
      </c>
      <c r="D9">
        <v>4</v>
      </c>
      <c r="E9">
        <v>3</v>
      </c>
      <c r="F9" s="5">
        <v>5</v>
      </c>
      <c r="G9">
        <v>72</v>
      </c>
      <c r="H9" t="s">
        <v>25</v>
      </c>
      <c r="I9" t="s">
        <v>46</v>
      </c>
      <c r="J9" t="s">
        <v>220</v>
      </c>
      <c r="K9">
        <v>900</v>
      </c>
      <c r="L9" t="s">
        <v>270</v>
      </c>
      <c r="M9" t="s">
        <v>305</v>
      </c>
      <c r="N9" t="s">
        <v>305</v>
      </c>
      <c r="O9" t="s">
        <v>311</v>
      </c>
      <c r="P9" t="s">
        <v>311</v>
      </c>
      <c r="Q9" t="s">
        <v>143</v>
      </c>
      <c r="R9" t="s">
        <v>143</v>
      </c>
      <c r="S9" t="s">
        <v>143</v>
      </c>
      <c r="T9" t="s">
        <v>143</v>
      </c>
      <c r="U9" t="s">
        <v>143</v>
      </c>
      <c r="V9" t="s">
        <v>456</v>
      </c>
    </row>
    <row r="10" spans="1:22" x14ac:dyDescent="0.25">
      <c r="A10" t="s">
        <v>472</v>
      </c>
      <c r="B10">
        <v>240</v>
      </c>
      <c r="C10">
        <v>107</v>
      </c>
      <c r="D10">
        <v>7</v>
      </c>
      <c r="E10">
        <v>2</v>
      </c>
      <c r="F10" s="5">
        <v>4</v>
      </c>
      <c r="G10">
        <v>72</v>
      </c>
      <c r="H10" t="s">
        <v>25</v>
      </c>
      <c r="I10" t="s">
        <v>46</v>
      </c>
      <c r="J10" t="s">
        <v>226</v>
      </c>
      <c r="K10">
        <v>900</v>
      </c>
      <c r="L10" t="s">
        <v>270</v>
      </c>
      <c r="M10" t="s">
        <v>326</v>
      </c>
      <c r="N10" t="s">
        <v>326</v>
      </c>
      <c r="O10" t="s">
        <v>532</v>
      </c>
      <c r="P10" t="s">
        <v>532</v>
      </c>
      <c r="Q10" t="s">
        <v>143</v>
      </c>
      <c r="R10" t="s">
        <v>143</v>
      </c>
      <c r="S10" t="s">
        <v>143</v>
      </c>
      <c r="T10" t="s">
        <v>143</v>
      </c>
      <c r="U10" t="s">
        <v>143</v>
      </c>
      <c r="V10" t="s">
        <v>456</v>
      </c>
    </row>
    <row r="11" spans="1:22" x14ac:dyDescent="0.25">
      <c r="A11" t="s">
        <v>473</v>
      </c>
      <c r="B11">
        <v>303</v>
      </c>
      <c r="C11">
        <v>110</v>
      </c>
      <c r="D11">
        <v>10</v>
      </c>
      <c r="E11">
        <v>2</v>
      </c>
      <c r="F11" s="5">
        <v>4</v>
      </c>
      <c r="G11">
        <v>72</v>
      </c>
      <c r="H11" t="s">
        <v>5</v>
      </c>
      <c r="I11" t="s">
        <v>2</v>
      </c>
      <c r="J11" t="s">
        <v>226</v>
      </c>
      <c r="K11">
        <v>1200</v>
      </c>
      <c r="L11" t="s">
        <v>270</v>
      </c>
      <c r="M11" t="s">
        <v>338</v>
      </c>
      <c r="N11" t="s">
        <v>338</v>
      </c>
      <c r="O11" t="s">
        <v>532</v>
      </c>
      <c r="P11" t="s">
        <v>532</v>
      </c>
      <c r="Q11" t="s">
        <v>143</v>
      </c>
      <c r="R11" t="s">
        <v>143</v>
      </c>
      <c r="S11" t="s">
        <v>143</v>
      </c>
      <c r="T11" t="s">
        <v>143</v>
      </c>
      <c r="U11" t="s">
        <v>143</v>
      </c>
      <c r="V11" t="s">
        <v>456</v>
      </c>
    </row>
    <row r="12" spans="1:22" x14ac:dyDescent="0.25">
      <c r="A12" t="s">
        <v>474</v>
      </c>
      <c r="B12">
        <v>335</v>
      </c>
      <c r="C12">
        <v>132</v>
      </c>
      <c r="D12">
        <v>13</v>
      </c>
      <c r="E12">
        <v>3</v>
      </c>
      <c r="F12" s="5">
        <v>5</v>
      </c>
      <c r="G12">
        <v>72</v>
      </c>
      <c r="H12" t="s">
        <v>475</v>
      </c>
      <c r="I12" t="s">
        <v>46</v>
      </c>
      <c r="J12" t="s">
        <v>468</v>
      </c>
      <c r="K12">
        <v>1200</v>
      </c>
      <c r="L12" t="s">
        <v>271</v>
      </c>
      <c r="M12" t="s">
        <v>347</v>
      </c>
      <c r="N12" t="s">
        <v>347</v>
      </c>
      <c r="O12" t="s">
        <v>532</v>
      </c>
      <c r="P12" t="s">
        <v>532</v>
      </c>
      <c r="Q12" t="s">
        <v>143</v>
      </c>
      <c r="R12" t="s">
        <v>143</v>
      </c>
      <c r="S12" t="s">
        <v>143</v>
      </c>
      <c r="T12" t="s">
        <v>143</v>
      </c>
      <c r="U12" t="s">
        <v>143</v>
      </c>
      <c r="V12" t="s">
        <v>456</v>
      </c>
    </row>
    <row r="13" spans="1:22" x14ac:dyDescent="0.25">
      <c r="A13" t="s">
        <v>476</v>
      </c>
      <c r="B13">
        <v>335</v>
      </c>
      <c r="C13">
        <v>132</v>
      </c>
      <c r="D13" t="s">
        <v>469</v>
      </c>
      <c r="E13">
        <v>2</v>
      </c>
      <c r="F13" s="5">
        <v>4</v>
      </c>
      <c r="G13">
        <v>72</v>
      </c>
      <c r="H13" t="s">
        <v>6</v>
      </c>
      <c r="I13" t="s">
        <v>46</v>
      </c>
      <c r="J13" t="s">
        <v>468</v>
      </c>
      <c r="K13">
        <v>1500</v>
      </c>
      <c r="L13" t="s">
        <v>271</v>
      </c>
      <c r="M13" t="s">
        <v>347</v>
      </c>
      <c r="N13" t="s">
        <v>347</v>
      </c>
      <c r="O13" t="s">
        <v>532</v>
      </c>
      <c r="P13" t="s">
        <v>532</v>
      </c>
      <c r="Q13" t="s">
        <v>143</v>
      </c>
      <c r="R13" t="s">
        <v>143</v>
      </c>
      <c r="S13" t="s">
        <v>143</v>
      </c>
      <c r="T13" t="s">
        <v>143</v>
      </c>
      <c r="U13" t="s">
        <v>143</v>
      </c>
      <c r="V13" t="s">
        <v>456</v>
      </c>
    </row>
    <row r="14" spans="1:22" x14ac:dyDescent="0.25">
      <c r="A14" t="s">
        <v>477</v>
      </c>
      <c r="B14">
        <v>256</v>
      </c>
      <c r="C14">
        <v>115</v>
      </c>
      <c r="D14">
        <v>1</v>
      </c>
      <c r="E14">
        <v>2</v>
      </c>
      <c r="F14" s="5">
        <v>4</v>
      </c>
      <c r="G14">
        <v>70</v>
      </c>
      <c r="H14" t="s">
        <v>24</v>
      </c>
      <c r="I14" t="s">
        <v>2</v>
      </c>
      <c r="J14" t="s">
        <v>221</v>
      </c>
      <c r="K14">
        <v>900</v>
      </c>
      <c r="L14" t="s">
        <v>270</v>
      </c>
      <c r="M14" t="s">
        <v>434</v>
      </c>
      <c r="N14" t="s">
        <v>434</v>
      </c>
      <c r="O14" t="s">
        <v>478</v>
      </c>
      <c r="P14" t="s">
        <v>478</v>
      </c>
      <c r="Q14" t="s">
        <v>143</v>
      </c>
      <c r="R14" t="s">
        <v>143</v>
      </c>
      <c r="S14" t="s">
        <v>143</v>
      </c>
      <c r="T14" t="s">
        <v>143</v>
      </c>
      <c r="U14" t="s">
        <v>153</v>
      </c>
      <c r="V14" t="s">
        <v>456</v>
      </c>
    </row>
    <row r="15" spans="1:22" x14ac:dyDescent="0.25">
      <c r="A15" t="s">
        <v>479</v>
      </c>
      <c r="B15">
        <v>221</v>
      </c>
      <c r="C15">
        <v>115</v>
      </c>
      <c r="D15">
        <v>3</v>
      </c>
      <c r="E15">
        <v>2</v>
      </c>
      <c r="F15" s="5">
        <v>5</v>
      </c>
      <c r="G15">
        <v>70</v>
      </c>
      <c r="H15" t="s">
        <v>25</v>
      </c>
      <c r="I15" t="s">
        <v>2</v>
      </c>
      <c r="J15" t="s">
        <v>221</v>
      </c>
      <c r="K15">
        <v>900</v>
      </c>
      <c r="L15" t="s">
        <v>270</v>
      </c>
      <c r="M15" t="s">
        <v>306</v>
      </c>
      <c r="N15" t="s">
        <v>306</v>
      </c>
      <c r="O15" t="s">
        <v>457</v>
      </c>
      <c r="P15" t="s">
        <v>457</v>
      </c>
      <c r="Q15" t="s">
        <v>143</v>
      </c>
      <c r="R15" t="s">
        <v>143</v>
      </c>
      <c r="S15" t="s">
        <v>143</v>
      </c>
      <c r="T15" t="s">
        <v>143</v>
      </c>
      <c r="U15" t="s">
        <v>153</v>
      </c>
      <c r="V15" t="s">
        <v>456</v>
      </c>
    </row>
    <row r="16" spans="1:22" x14ac:dyDescent="0.25">
      <c r="A16" t="s">
        <v>480</v>
      </c>
      <c r="B16">
        <v>387</v>
      </c>
      <c r="C16">
        <v>179</v>
      </c>
      <c r="D16">
        <v>6</v>
      </c>
      <c r="E16">
        <v>2</v>
      </c>
      <c r="F16" s="5">
        <v>6</v>
      </c>
      <c r="G16">
        <v>70</v>
      </c>
      <c r="H16" t="s">
        <v>5</v>
      </c>
      <c r="I16" t="s">
        <v>2</v>
      </c>
      <c r="J16" t="s">
        <v>227</v>
      </c>
      <c r="K16">
        <v>900</v>
      </c>
      <c r="L16" t="s">
        <v>270</v>
      </c>
      <c r="M16" t="s">
        <v>327</v>
      </c>
      <c r="N16" t="s">
        <v>327</v>
      </c>
      <c r="O16" t="s">
        <v>431</v>
      </c>
      <c r="P16" t="s">
        <v>431</v>
      </c>
      <c r="Q16" t="s">
        <v>143</v>
      </c>
      <c r="R16" t="s">
        <v>143</v>
      </c>
      <c r="S16" t="s">
        <v>143</v>
      </c>
      <c r="T16" t="s">
        <v>143</v>
      </c>
      <c r="U16" t="s">
        <v>153</v>
      </c>
      <c r="V16" t="s">
        <v>456</v>
      </c>
    </row>
    <row r="17" spans="1:22" x14ac:dyDescent="0.25">
      <c r="A17" t="s">
        <v>481</v>
      </c>
      <c r="B17">
        <v>426</v>
      </c>
      <c r="C17">
        <v>176</v>
      </c>
      <c r="D17">
        <v>8</v>
      </c>
      <c r="E17">
        <v>3</v>
      </c>
      <c r="F17" s="5">
        <v>5</v>
      </c>
      <c r="G17">
        <v>70</v>
      </c>
      <c r="H17" t="s">
        <v>482</v>
      </c>
      <c r="I17" t="s">
        <v>46</v>
      </c>
      <c r="J17" t="s">
        <v>227</v>
      </c>
      <c r="K17">
        <v>1200</v>
      </c>
      <c r="L17" t="s">
        <v>534</v>
      </c>
      <c r="M17" t="s">
        <v>334</v>
      </c>
      <c r="N17" t="s">
        <v>334</v>
      </c>
      <c r="O17" t="s">
        <v>431</v>
      </c>
      <c r="P17" t="s">
        <v>431</v>
      </c>
      <c r="Q17" t="s">
        <v>143</v>
      </c>
      <c r="R17" t="s">
        <v>143</v>
      </c>
      <c r="S17" t="s">
        <v>143</v>
      </c>
      <c r="T17" t="s">
        <v>143</v>
      </c>
      <c r="U17" t="s">
        <v>153</v>
      </c>
      <c r="V17" t="s">
        <v>456</v>
      </c>
    </row>
    <row r="18" spans="1:22" x14ac:dyDescent="0.25">
      <c r="A18" t="s">
        <v>483</v>
      </c>
      <c r="B18">
        <v>550</v>
      </c>
      <c r="C18">
        <v>205</v>
      </c>
      <c r="D18">
        <v>10</v>
      </c>
      <c r="E18">
        <v>3</v>
      </c>
      <c r="F18" s="5">
        <v>5</v>
      </c>
      <c r="G18">
        <v>70</v>
      </c>
      <c r="H18" t="s">
        <v>475</v>
      </c>
      <c r="I18" t="s">
        <v>46</v>
      </c>
      <c r="J18" t="s">
        <v>484</v>
      </c>
      <c r="K18">
        <v>1200</v>
      </c>
      <c r="L18" t="s">
        <v>535</v>
      </c>
      <c r="M18" t="s">
        <v>337</v>
      </c>
      <c r="N18" t="s">
        <v>337</v>
      </c>
      <c r="O18" t="s">
        <v>431</v>
      </c>
      <c r="P18" t="s">
        <v>431</v>
      </c>
      <c r="Q18" t="s">
        <v>143</v>
      </c>
      <c r="R18" t="s">
        <v>143</v>
      </c>
      <c r="S18" t="s">
        <v>143</v>
      </c>
      <c r="T18" t="s">
        <v>143</v>
      </c>
      <c r="U18" t="s">
        <v>153</v>
      </c>
      <c r="V18" t="s">
        <v>456</v>
      </c>
    </row>
    <row r="19" spans="1:22" x14ac:dyDescent="0.25">
      <c r="A19" t="s">
        <v>485</v>
      </c>
      <c r="B19">
        <v>550</v>
      </c>
      <c r="C19">
        <v>205</v>
      </c>
      <c r="D19" t="s">
        <v>469</v>
      </c>
      <c r="E19">
        <v>1</v>
      </c>
      <c r="F19" s="5">
        <v>1</v>
      </c>
      <c r="G19">
        <v>70</v>
      </c>
      <c r="H19" t="s">
        <v>475</v>
      </c>
      <c r="I19" t="s">
        <v>46</v>
      </c>
      <c r="J19" t="s">
        <v>484</v>
      </c>
      <c r="K19">
        <v>1500</v>
      </c>
      <c r="L19" t="s">
        <v>271</v>
      </c>
      <c r="M19" t="s">
        <v>340</v>
      </c>
      <c r="N19" t="s">
        <v>340</v>
      </c>
      <c r="O19" t="s">
        <v>486</v>
      </c>
      <c r="P19" t="s">
        <v>486</v>
      </c>
      <c r="Q19" t="s">
        <v>143</v>
      </c>
      <c r="R19" t="s">
        <v>143</v>
      </c>
      <c r="S19" t="s">
        <v>143</v>
      </c>
      <c r="T19" t="s">
        <v>143</v>
      </c>
      <c r="U19" t="s">
        <v>160</v>
      </c>
      <c r="V19" t="s">
        <v>456</v>
      </c>
    </row>
    <row r="20" spans="1:22" x14ac:dyDescent="0.25">
      <c r="A20" t="s">
        <v>487</v>
      </c>
      <c r="B20">
        <v>255</v>
      </c>
      <c r="C20">
        <v>188</v>
      </c>
      <c r="D20">
        <v>0</v>
      </c>
      <c r="E20">
        <v>2</v>
      </c>
      <c r="F20" s="5">
        <v>5</v>
      </c>
      <c r="G20">
        <v>65</v>
      </c>
      <c r="H20" t="s">
        <v>24</v>
      </c>
      <c r="I20" t="s">
        <v>46</v>
      </c>
      <c r="J20" t="s">
        <v>222</v>
      </c>
      <c r="K20">
        <v>600</v>
      </c>
      <c r="L20" t="s">
        <v>270</v>
      </c>
      <c r="M20" t="s">
        <v>434</v>
      </c>
      <c r="N20" t="s">
        <v>434</v>
      </c>
      <c r="O20" t="s">
        <v>434</v>
      </c>
      <c r="P20" t="s">
        <v>434</v>
      </c>
      <c r="Q20" t="s">
        <v>143</v>
      </c>
      <c r="R20" t="s">
        <v>143</v>
      </c>
      <c r="S20" t="s">
        <v>143</v>
      </c>
      <c r="T20" t="s">
        <v>143</v>
      </c>
      <c r="U20" t="s">
        <v>456</v>
      </c>
      <c r="V20" t="s">
        <v>143</v>
      </c>
    </row>
    <row r="21" spans="1:22" x14ac:dyDescent="0.25">
      <c r="A21" t="s">
        <v>488</v>
      </c>
      <c r="B21">
        <v>290</v>
      </c>
      <c r="C21">
        <v>186</v>
      </c>
      <c r="D21">
        <v>3</v>
      </c>
      <c r="E21">
        <v>2</v>
      </c>
      <c r="F21" s="5">
        <v>5</v>
      </c>
      <c r="G21">
        <v>65</v>
      </c>
      <c r="H21" t="s">
        <v>24</v>
      </c>
      <c r="I21" t="s">
        <v>46</v>
      </c>
      <c r="J21" t="s">
        <v>222</v>
      </c>
      <c r="K21">
        <v>900</v>
      </c>
      <c r="L21" t="s">
        <v>271</v>
      </c>
      <c r="M21" t="s">
        <v>306</v>
      </c>
      <c r="N21" t="s">
        <v>306</v>
      </c>
      <c r="O21" t="s">
        <v>306</v>
      </c>
      <c r="P21" t="s">
        <v>306</v>
      </c>
      <c r="Q21" t="s">
        <v>143</v>
      </c>
      <c r="R21" t="s">
        <v>143</v>
      </c>
      <c r="S21" t="s">
        <v>143</v>
      </c>
      <c r="T21" t="s">
        <v>143</v>
      </c>
      <c r="U21" t="s">
        <v>456</v>
      </c>
      <c r="V21" t="s">
        <v>143</v>
      </c>
    </row>
    <row r="22" spans="1:22" x14ac:dyDescent="0.25">
      <c r="A22" t="s">
        <v>489</v>
      </c>
      <c r="B22">
        <v>386</v>
      </c>
      <c r="C22">
        <v>244</v>
      </c>
      <c r="D22">
        <v>7</v>
      </c>
      <c r="E22">
        <v>2</v>
      </c>
      <c r="F22" s="5">
        <v>4</v>
      </c>
      <c r="G22">
        <v>65</v>
      </c>
      <c r="H22" t="s">
        <v>5</v>
      </c>
      <c r="I22" t="s">
        <v>46</v>
      </c>
      <c r="J22" t="s">
        <v>228</v>
      </c>
      <c r="K22">
        <v>1200</v>
      </c>
      <c r="L22" t="s">
        <v>271</v>
      </c>
      <c r="M22" t="s">
        <v>315</v>
      </c>
      <c r="N22" t="s">
        <v>315</v>
      </c>
      <c r="O22" t="s">
        <v>331</v>
      </c>
      <c r="P22" t="s">
        <v>331</v>
      </c>
      <c r="Q22" t="s">
        <v>143</v>
      </c>
      <c r="R22" t="s">
        <v>143</v>
      </c>
      <c r="S22" t="s">
        <v>143</v>
      </c>
      <c r="T22" t="s">
        <v>143</v>
      </c>
      <c r="U22" t="s">
        <v>456</v>
      </c>
      <c r="V22" t="s">
        <v>143</v>
      </c>
    </row>
    <row r="23" spans="1:22" x14ac:dyDescent="0.25">
      <c r="A23" t="s">
        <v>490</v>
      </c>
      <c r="B23">
        <v>379</v>
      </c>
      <c r="C23">
        <v>241</v>
      </c>
      <c r="D23">
        <v>9</v>
      </c>
      <c r="E23">
        <v>2</v>
      </c>
      <c r="F23" s="5">
        <v>4</v>
      </c>
      <c r="G23">
        <v>65</v>
      </c>
      <c r="H23" t="s">
        <v>482</v>
      </c>
      <c r="I23" t="s">
        <v>46</v>
      </c>
      <c r="J23" t="s">
        <v>228</v>
      </c>
      <c r="K23">
        <v>1200</v>
      </c>
      <c r="L23" t="s">
        <v>271</v>
      </c>
      <c r="M23" t="s">
        <v>337</v>
      </c>
      <c r="N23" t="s">
        <v>337</v>
      </c>
      <c r="O23" t="s">
        <v>337</v>
      </c>
      <c r="P23" t="s">
        <v>337</v>
      </c>
      <c r="Q23" t="s">
        <v>143</v>
      </c>
      <c r="R23" t="s">
        <v>143</v>
      </c>
      <c r="S23" t="s">
        <v>143</v>
      </c>
      <c r="T23" t="s">
        <v>143</v>
      </c>
      <c r="U23" t="s">
        <v>456</v>
      </c>
      <c r="V23" t="s">
        <v>143</v>
      </c>
    </row>
    <row r="24" spans="1:22" x14ac:dyDescent="0.25">
      <c r="A24" t="s">
        <v>491</v>
      </c>
      <c r="B24">
        <v>416</v>
      </c>
      <c r="C24">
        <v>305</v>
      </c>
      <c r="D24">
        <v>11</v>
      </c>
      <c r="E24">
        <v>2</v>
      </c>
      <c r="F24" s="5">
        <v>4</v>
      </c>
      <c r="G24">
        <v>65</v>
      </c>
      <c r="H24" t="s">
        <v>13</v>
      </c>
      <c r="I24" t="s">
        <v>46</v>
      </c>
      <c r="J24" t="s">
        <v>492</v>
      </c>
      <c r="K24">
        <v>1500</v>
      </c>
      <c r="L24" t="s">
        <v>271</v>
      </c>
      <c r="M24" t="s">
        <v>342</v>
      </c>
      <c r="N24" t="s">
        <v>342</v>
      </c>
      <c r="O24" t="s">
        <v>342</v>
      </c>
      <c r="P24" t="s">
        <v>342</v>
      </c>
      <c r="Q24" t="s">
        <v>143</v>
      </c>
      <c r="R24" t="s">
        <v>143</v>
      </c>
      <c r="S24" t="s">
        <v>143</v>
      </c>
      <c r="T24" t="s">
        <v>143</v>
      </c>
      <c r="U24" t="s">
        <v>456</v>
      </c>
      <c r="V24" t="s">
        <v>143</v>
      </c>
    </row>
    <row r="25" spans="1:22" x14ac:dyDescent="0.25">
      <c r="A25" t="s">
        <v>493</v>
      </c>
      <c r="B25">
        <v>416</v>
      </c>
      <c r="C25">
        <v>305</v>
      </c>
      <c r="D25" t="s">
        <v>469</v>
      </c>
      <c r="E25">
        <v>1</v>
      </c>
      <c r="F25" s="5">
        <v>2</v>
      </c>
      <c r="G25">
        <v>65</v>
      </c>
      <c r="H25" t="s">
        <v>536</v>
      </c>
      <c r="I25" t="s">
        <v>46</v>
      </c>
      <c r="J25" t="s">
        <v>492</v>
      </c>
      <c r="K25">
        <v>1950</v>
      </c>
      <c r="L25" t="s">
        <v>271</v>
      </c>
      <c r="M25" t="s">
        <v>347</v>
      </c>
      <c r="N25" t="s">
        <v>347</v>
      </c>
      <c r="O25" t="s">
        <v>347</v>
      </c>
      <c r="P25" t="s">
        <v>347</v>
      </c>
      <c r="Q25" t="s">
        <v>143</v>
      </c>
      <c r="R25" t="s">
        <v>143</v>
      </c>
      <c r="S25" t="s">
        <v>143</v>
      </c>
      <c r="T25" t="s">
        <v>143</v>
      </c>
      <c r="U25" t="s">
        <v>456</v>
      </c>
      <c r="V25" t="s">
        <v>143</v>
      </c>
    </row>
    <row r="26" spans="1:22" x14ac:dyDescent="0.25">
      <c r="A26" t="s">
        <v>494</v>
      </c>
      <c r="B26">
        <v>114</v>
      </c>
      <c r="C26">
        <v>183</v>
      </c>
      <c r="D26">
        <v>2</v>
      </c>
      <c r="E26">
        <v>3</v>
      </c>
      <c r="F26" s="5">
        <v>5</v>
      </c>
      <c r="G26">
        <v>55</v>
      </c>
      <c r="H26" t="s">
        <v>26</v>
      </c>
      <c r="I26" t="s">
        <v>46</v>
      </c>
      <c r="J26" t="s">
        <v>222</v>
      </c>
      <c r="K26">
        <v>1500</v>
      </c>
      <c r="L26" t="s">
        <v>270</v>
      </c>
      <c r="M26" t="s">
        <v>458</v>
      </c>
      <c r="N26" t="s">
        <v>458</v>
      </c>
      <c r="O26" t="s">
        <v>495</v>
      </c>
      <c r="P26" t="s">
        <v>495</v>
      </c>
      <c r="Q26" t="s">
        <v>289</v>
      </c>
      <c r="R26" t="s">
        <v>289</v>
      </c>
      <c r="S26" t="s">
        <v>143</v>
      </c>
      <c r="T26" t="s">
        <v>143</v>
      </c>
      <c r="U26" t="s">
        <v>456</v>
      </c>
      <c r="V26" t="s">
        <v>143</v>
      </c>
    </row>
    <row r="27" spans="1:22" x14ac:dyDescent="0.25">
      <c r="A27" t="s">
        <v>496</v>
      </c>
      <c r="B27">
        <v>126</v>
      </c>
      <c r="C27">
        <v>183</v>
      </c>
      <c r="D27">
        <v>3</v>
      </c>
      <c r="E27">
        <v>3</v>
      </c>
      <c r="F27" s="5">
        <v>5</v>
      </c>
      <c r="G27">
        <v>55</v>
      </c>
      <c r="H27" t="s">
        <v>33</v>
      </c>
      <c r="I27" t="s">
        <v>46</v>
      </c>
      <c r="J27" t="s">
        <v>222</v>
      </c>
      <c r="K27">
        <v>1500</v>
      </c>
      <c r="L27" t="s">
        <v>270</v>
      </c>
      <c r="M27" t="s">
        <v>310</v>
      </c>
      <c r="N27" t="s">
        <v>310</v>
      </c>
      <c r="O27" t="s">
        <v>495</v>
      </c>
      <c r="P27" t="s">
        <v>495</v>
      </c>
      <c r="Q27" t="s">
        <v>311</v>
      </c>
      <c r="R27" t="s">
        <v>311</v>
      </c>
      <c r="S27" t="s">
        <v>143</v>
      </c>
      <c r="T27" t="s">
        <v>143</v>
      </c>
      <c r="U27" t="s">
        <v>456</v>
      </c>
      <c r="V27" t="s">
        <v>143</v>
      </c>
    </row>
    <row r="28" spans="1:22" x14ac:dyDescent="0.25">
      <c r="A28" t="s">
        <v>497</v>
      </c>
      <c r="B28">
        <v>205</v>
      </c>
      <c r="C28">
        <v>242</v>
      </c>
      <c r="D28">
        <v>6</v>
      </c>
      <c r="E28">
        <v>2</v>
      </c>
      <c r="F28" s="5">
        <v>4</v>
      </c>
      <c r="G28">
        <v>55</v>
      </c>
      <c r="H28" t="s">
        <v>5</v>
      </c>
      <c r="I28" t="s">
        <v>46</v>
      </c>
      <c r="J28" t="s">
        <v>228</v>
      </c>
      <c r="K28">
        <v>1500</v>
      </c>
      <c r="L28" t="s">
        <v>271</v>
      </c>
      <c r="M28" t="s">
        <v>315</v>
      </c>
      <c r="N28" t="s">
        <v>315</v>
      </c>
      <c r="O28" t="s">
        <v>431</v>
      </c>
      <c r="P28" t="s">
        <v>431</v>
      </c>
      <c r="Q28" t="s">
        <v>311</v>
      </c>
      <c r="R28" t="s">
        <v>311</v>
      </c>
      <c r="S28" t="s">
        <v>143</v>
      </c>
      <c r="T28" t="s">
        <v>143</v>
      </c>
      <c r="U28" t="s">
        <v>456</v>
      </c>
      <c r="V28" t="s">
        <v>143</v>
      </c>
    </row>
    <row r="29" spans="1:22" x14ac:dyDescent="0.25">
      <c r="A29" t="s">
        <v>498</v>
      </c>
      <c r="B29">
        <v>191</v>
      </c>
      <c r="C29">
        <v>239</v>
      </c>
      <c r="D29">
        <v>9</v>
      </c>
      <c r="E29">
        <v>3</v>
      </c>
      <c r="F29" s="5">
        <v>5</v>
      </c>
      <c r="G29">
        <v>55</v>
      </c>
      <c r="H29" t="s">
        <v>22</v>
      </c>
      <c r="I29" t="s">
        <v>46</v>
      </c>
      <c r="J29" t="s">
        <v>228</v>
      </c>
      <c r="K29">
        <v>1500</v>
      </c>
      <c r="L29" t="s">
        <v>271</v>
      </c>
      <c r="M29" t="s">
        <v>336</v>
      </c>
      <c r="N29" t="s">
        <v>336</v>
      </c>
      <c r="O29" t="s">
        <v>431</v>
      </c>
      <c r="P29" t="s">
        <v>431</v>
      </c>
      <c r="Q29" t="s">
        <v>329</v>
      </c>
      <c r="R29" t="s">
        <v>329</v>
      </c>
      <c r="S29" t="s">
        <v>143</v>
      </c>
      <c r="T29" t="s">
        <v>143</v>
      </c>
      <c r="U29" t="s">
        <v>456</v>
      </c>
      <c r="V29" t="s">
        <v>143</v>
      </c>
    </row>
    <row r="30" spans="1:22" x14ac:dyDescent="0.25">
      <c r="A30" t="s">
        <v>499</v>
      </c>
      <c r="B30">
        <v>299</v>
      </c>
      <c r="C30">
        <v>305</v>
      </c>
      <c r="D30">
        <v>12</v>
      </c>
      <c r="E30">
        <v>2</v>
      </c>
      <c r="F30" s="5">
        <v>4</v>
      </c>
      <c r="G30">
        <v>55</v>
      </c>
      <c r="H30" t="s">
        <v>13</v>
      </c>
      <c r="I30" t="s">
        <v>46</v>
      </c>
      <c r="J30" t="s">
        <v>492</v>
      </c>
      <c r="K30">
        <v>1500</v>
      </c>
      <c r="L30" t="s">
        <v>271</v>
      </c>
      <c r="M30" t="s">
        <v>500</v>
      </c>
      <c r="N30" t="s">
        <v>500</v>
      </c>
      <c r="O30" t="s">
        <v>431</v>
      </c>
      <c r="P30" t="s">
        <v>431</v>
      </c>
      <c r="Q30" t="s">
        <v>329</v>
      </c>
      <c r="R30" t="s">
        <v>329</v>
      </c>
      <c r="S30" t="s">
        <v>143</v>
      </c>
      <c r="T30" t="s">
        <v>143</v>
      </c>
      <c r="U30" t="s">
        <v>456</v>
      </c>
      <c r="V30" t="s">
        <v>143</v>
      </c>
    </row>
    <row r="31" spans="1:22" x14ac:dyDescent="0.25">
      <c r="A31" t="s">
        <v>501</v>
      </c>
      <c r="B31">
        <v>299</v>
      </c>
      <c r="C31">
        <v>305</v>
      </c>
      <c r="D31" t="s">
        <v>469</v>
      </c>
      <c r="E31">
        <v>2</v>
      </c>
      <c r="F31" s="5">
        <v>5</v>
      </c>
      <c r="G31">
        <v>55</v>
      </c>
      <c r="H31" t="s">
        <v>536</v>
      </c>
      <c r="I31" t="s">
        <v>46</v>
      </c>
      <c r="J31" t="s">
        <v>492</v>
      </c>
      <c r="K31">
        <v>1950</v>
      </c>
      <c r="L31" t="s">
        <v>271</v>
      </c>
      <c r="M31" t="s">
        <v>500</v>
      </c>
      <c r="N31" t="s">
        <v>500</v>
      </c>
      <c r="O31" t="s">
        <v>502</v>
      </c>
      <c r="P31" t="s">
        <v>502</v>
      </c>
      <c r="Q31" t="s">
        <v>329</v>
      </c>
      <c r="R31" t="s">
        <v>329</v>
      </c>
      <c r="S31" t="s">
        <v>143</v>
      </c>
      <c r="T31" t="s">
        <v>143</v>
      </c>
      <c r="U31" t="s">
        <v>456</v>
      </c>
      <c r="V31" t="s">
        <v>143</v>
      </c>
    </row>
    <row r="32" spans="1:22" x14ac:dyDescent="0.25">
      <c r="A32" t="s">
        <v>503</v>
      </c>
      <c r="B32">
        <v>102</v>
      </c>
      <c r="C32">
        <v>283</v>
      </c>
      <c r="D32">
        <v>2</v>
      </c>
      <c r="E32">
        <v>3</v>
      </c>
      <c r="F32" s="5">
        <v>5</v>
      </c>
      <c r="G32">
        <v>50</v>
      </c>
      <c r="H32" t="s">
        <v>26</v>
      </c>
      <c r="I32" t="s">
        <v>46</v>
      </c>
      <c r="J32" t="s">
        <v>223</v>
      </c>
      <c r="K32">
        <v>1500</v>
      </c>
      <c r="L32" t="s">
        <v>270</v>
      </c>
      <c r="M32" t="s">
        <v>306</v>
      </c>
      <c r="N32" t="s">
        <v>306</v>
      </c>
      <c r="O32" t="s">
        <v>306</v>
      </c>
      <c r="P32" t="s">
        <v>306</v>
      </c>
      <c r="Q32" t="s">
        <v>289</v>
      </c>
      <c r="R32" t="s">
        <v>289</v>
      </c>
      <c r="S32" t="s">
        <v>143</v>
      </c>
      <c r="T32" t="s">
        <v>143</v>
      </c>
      <c r="U32" t="s">
        <v>456</v>
      </c>
      <c r="V32" t="s">
        <v>143</v>
      </c>
    </row>
    <row r="33" spans="1:22" x14ac:dyDescent="0.25">
      <c r="A33" t="s">
        <v>504</v>
      </c>
      <c r="B33">
        <v>115</v>
      </c>
      <c r="C33">
        <v>282</v>
      </c>
      <c r="D33">
        <v>5</v>
      </c>
      <c r="E33">
        <v>5</v>
      </c>
      <c r="F33" s="5">
        <v>6</v>
      </c>
      <c r="G33">
        <v>50</v>
      </c>
      <c r="H33" t="s">
        <v>33</v>
      </c>
      <c r="I33" t="s">
        <v>46</v>
      </c>
      <c r="J33" t="s">
        <v>223</v>
      </c>
      <c r="K33">
        <v>1500</v>
      </c>
      <c r="L33" t="s">
        <v>271</v>
      </c>
      <c r="M33" t="s">
        <v>306</v>
      </c>
      <c r="N33" t="s">
        <v>306</v>
      </c>
      <c r="O33" t="s">
        <v>306</v>
      </c>
      <c r="P33" t="s">
        <v>306</v>
      </c>
      <c r="Q33" t="s">
        <v>505</v>
      </c>
      <c r="R33" t="s">
        <v>505</v>
      </c>
      <c r="S33" t="s">
        <v>143</v>
      </c>
      <c r="T33" t="s">
        <v>143</v>
      </c>
      <c r="U33" t="s">
        <v>456</v>
      </c>
      <c r="V33" t="s">
        <v>143</v>
      </c>
    </row>
    <row r="34" spans="1:22" x14ac:dyDescent="0.25">
      <c r="A34" t="s">
        <v>506</v>
      </c>
      <c r="B34">
        <v>155</v>
      </c>
      <c r="C34">
        <v>370</v>
      </c>
      <c r="D34">
        <v>7</v>
      </c>
      <c r="E34">
        <v>6</v>
      </c>
      <c r="F34" s="5">
        <v>8</v>
      </c>
      <c r="G34">
        <v>50</v>
      </c>
      <c r="H34" t="s">
        <v>396</v>
      </c>
      <c r="I34" t="s">
        <v>46</v>
      </c>
      <c r="J34" t="s">
        <v>229</v>
      </c>
      <c r="K34">
        <v>1950</v>
      </c>
      <c r="L34" t="s">
        <v>271</v>
      </c>
      <c r="M34" t="s">
        <v>327</v>
      </c>
      <c r="N34" t="s">
        <v>327</v>
      </c>
      <c r="O34" t="s">
        <v>327</v>
      </c>
      <c r="P34" t="s">
        <v>327</v>
      </c>
      <c r="Q34" t="s">
        <v>324</v>
      </c>
      <c r="R34" t="s">
        <v>324</v>
      </c>
      <c r="S34" t="s">
        <v>143</v>
      </c>
      <c r="T34" t="s">
        <v>143</v>
      </c>
      <c r="U34" t="s">
        <v>456</v>
      </c>
      <c r="V34" t="s">
        <v>143</v>
      </c>
    </row>
    <row r="35" spans="1:22" x14ac:dyDescent="0.25">
      <c r="A35" t="s">
        <v>507</v>
      </c>
      <c r="B35">
        <v>130</v>
      </c>
      <c r="C35">
        <v>358</v>
      </c>
      <c r="D35">
        <v>9</v>
      </c>
      <c r="E35">
        <v>2</v>
      </c>
      <c r="F35" s="5">
        <v>4</v>
      </c>
      <c r="G35">
        <v>50</v>
      </c>
      <c r="H35" t="s">
        <v>22</v>
      </c>
      <c r="I35" t="s">
        <v>46</v>
      </c>
      <c r="J35" t="s">
        <v>229</v>
      </c>
      <c r="K35">
        <v>2400</v>
      </c>
      <c r="L35" t="s">
        <v>271</v>
      </c>
      <c r="M35" t="s">
        <v>327</v>
      </c>
      <c r="N35" t="s">
        <v>327</v>
      </c>
      <c r="O35" t="s">
        <v>327</v>
      </c>
      <c r="P35" t="s">
        <v>327</v>
      </c>
      <c r="Q35" t="s">
        <v>329</v>
      </c>
      <c r="R35" t="s">
        <v>329</v>
      </c>
      <c r="S35" t="s">
        <v>143</v>
      </c>
      <c r="T35" t="s">
        <v>143</v>
      </c>
      <c r="U35" t="s">
        <v>456</v>
      </c>
      <c r="V35" t="s">
        <v>143</v>
      </c>
    </row>
    <row r="36" spans="1:22" x14ac:dyDescent="0.25">
      <c r="A36" t="s">
        <v>508</v>
      </c>
      <c r="B36">
        <v>181</v>
      </c>
      <c r="C36">
        <v>420</v>
      </c>
      <c r="D36">
        <v>11</v>
      </c>
      <c r="E36">
        <v>5</v>
      </c>
      <c r="F36" s="5">
        <v>6</v>
      </c>
      <c r="G36">
        <v>50</v>
      </c>
      <c r="H36" t="s">
        <v>475</v>
      </c>
      <c r="I36" t="s">
        <v>46</v>
      </c>
      <c r="J36" t="s">
        <v>509</v>
      </c>
      <c r="K36">
        <v>2400</v>
      </c>
      <c r="L36" t="s">
        <v>271</v>
      </c>
      <c r="M36" t="s">
        <v>327</v>
      </c>
      <c r="N36" t="s">
        <v>327</v>
      </c>
      <c r="O36" t="s">
        <v>337</v>
      </c>
      <c r="P36" t="s">
        <v>337</v>
      </c>
      <c r="Q36" t="s">
        <v>329</v>
      </c>
      <c r="R36" t="s">
        <v>329</v>
      </c>
      <c r="S36" t="s">
        <v>143</v>
      </c>
      <c r="T36" t="s">
        <v>143</v>
      </c>
      <c r="U36" t="s">
        <v>456</v>
      </c>
      <c r="V36" t="s">
        <v>143</v>
      </c>
    </row>
    <row r="37" spans="1:22" x14ac:dyDescent="0.25">
      <c r="A37" t="s">
        <v>510</v>
      </c>
      <c r="B37">
        <v>181</v>
      </c>
      <c r="C37">
        <v>420</v>
      </c>
      <c r="D37" t="s">
        <v>469</v>
      </c>
      <c r="E37">
        <v>2</v>
      </c>
      <c r="F37" s="5">
        <v>46056</v>
      </c>
      <c r="G37">
        <v>50</v>
      </c>
      <c r="H37" t="s">
        <v>537</v>
      </c>
      <c r="I37" t="s">
        <v>46</v>
      </c>
      <c r="J37" t="s">
        <v>509</v>
      </c>
      <c r="K37">
        <v>2850</v>
      </c>
      <c r="L37" t="s">
        <v>271</v>
      </c>
      <c r="M37" t="s">
        <v>347</v>
      </c>
      <c r="N37" t="s">
        <v>347</v>
      </c>
      <c r="O37" t="s">
        <v>347</v>
      </c>
      <c r="P37" t="s">
        <v>347</v>
      </c>
      <c r="Q37" t="s">
        <v>329</v>
      </c>
      <c r="R37" t="s">
        <v>329</v>
      </c>
      <c r="S37" t="s">
        <v>143</v>
      </c>
      <c r="T37" t="s">
        <v>143</v>
      </c>
      <c r="U37" t="s">
        <v>456</v>
      </c>
      <c r="V37" t="s">
        <v>143</v>
      </c>
    </row>
    <row r="38" spans="1:22" x14ac:dyDescent="0.25">
      <c r="A38" t="s">
        <v>511</v>
      </c>
      <c r="B38">
        <v>147</v>
      </c>
      <c r="C38">
        <v>432</v>
      </c>
      <c r="D38">
        <v>4</v>
      </c>
      <c r="E38">
        <v>4</v>
      </c>
      <c r="F38" s="5">
        <v>6</v>
      </c>
      <c r="G38">
        <v>40</v>
      </c>
      <c r="H38" t="s">
        <v>396</v>
      </c>
      <c r="I38" t="s">
        <v>46</v>
      </c>
      <c r="J38" t="s">
        <v>230</v>
      </c>
      <c r="K38">
        <v>1950</v>
      </c>
      <c r="L38" t="s">
        <v>271</v>
      </c>
      <c r="M38" t="s">
        <v>309</v>
      </c>
      <c r="N38" t="s">
        <v>309</v>
      </c>
      <c r="O38" t="s">
        <v>314</v>
      </c>
      <c r="P38" t="s">
        <v>314</v>
      </c>
      <c r="Q38" t="s">
        <v>314</v>
      </c>
      <c r="R38" t="s">
        <v>314</v>
      </c>
      <c r="S38" t="s">
        <v>311</v>
      </c>
      <c r="T38" t="s">
        <v>311</v>
      </c>
      <c r="U38" t="s">
        <v>153</v>
      </c>
      <c r="V38" t="s">
        <v>456</v>
      </c>
    </row>
    <row r="39" spans="1:22" x14ac:dyDescent="0.25">
      <c r="A39" t="s">
        <v>512</v>
      </c>
      <c r="B39">
        <v>173</v>
      </c>
      <c r="C39">
        <v>432</v>
      </c>
      <c r="D39">
        <v>6</v>
      </c>
      <c r="E39">
        <v>2</v>
      </c>
      <c r="F39" s="5">
        <v>4</v>
      </c>
      <c r="G39">
        <v>40</v>
      </c>
      <c r="H39" t="s">
        <v>396</v>
      </c>
      <c r="I39" t="s">
        <v>46</v>
      </c>
      <c r="J39" t="s">
        <v>230</v>
      </c>
      <c r="K39">
        <v>1950</v>
      </c>
      <c r="L39" t="s">
        <v>271</v>
      </c>
      <c r="M39" t="s">
        <v>315</v>
      </c>
      <c r="N39" t="s">
        <v>315</v>
      </c>
      <c r="O39" t="s">
        <v>314</v>
      </c>
      <c r="P39" t="s">
        <v>314</v>
      </c>
      <c r="Q39" t="s">
        <v>314</v>
      </c>
      <c r="R39" t="s">
        <v>314</v>
      </c>
      <c r="S39" t="s">
        <v>311</v>
      </c>
      <c r="T39" t="s">
        <v>311</v>
      </c>
      <c r="U39" t="s">
        <v>538</v>
      </c>
      <c r="V39" t="s">
        <v>456</v>
      </c>
    </row>
    <row r="40" spans="1:22" x14ac:dyDescent="0.25">
      <c r="A40" t="s">
        <v>513</v>
      </c>
      <c r="B40">
        <v>184</v>
      </c>
      <c r="C40">
        <v>501</v>
      </c>
      <c r="D40">
        <v>8</v>
      </c>
      <c r="E40">
        <v>2</v>
      </c>
      <c r="F40" s="5">
        <v>4</v>
      </c>
      <c r="G40">
        <v>40</v>
      </c>
      <c r="H40" t="s">
        <v>22</v>
      </c>
      <c r="I40" t="s">
        <v>46</v>
      </c>
      <c r="J40" t="s">
        <v>514</v>
      </c>
      <c r="K40">
        <v>2400</v>
      </c>
      <c r="L40" t="s">
        <v>271</v>
      </c>
      <c r="M40" t="s">
        <v>467</v>
      </c>
      <c r="N40" t="s">
        <v>467</v>
      </c>
      <c r="O40" t="s">
        <v>431</v>
      </c>
      <c r="P40" t="s">
        <v>431</v>
      </c>
      <c r="Q40" t="s">
        <v>431</v>
      </c>
      <c r="R40" t="s">
        <v>431</v>
      </c>
      <c r="S40" t="s">
        <v>311</v>
      </c>
      <c r="T40" t="s">
        <v>311</v>
      </c>
      <c r="U40" t="s">
        <v>538</v>
      </c>
      <c r="V40" t="s">
        <v>456</v>
      </c>
    </row>
    <row r="41" spans="1:22" x14ac:dyDescent="0.25">
      <c r="A41" t="s">
        <v>515</v>
      </c>
      <c r="B41">
        <v>181</v>
      </c>
      <c r="C41">
        <v>501</v>
      </c>
      <c r="D41">
        <v>10</v>
      </c>
      <c r="E41">
        <v>6</v>
      </c>
      <c r="F41" s="5">
        <v>8</v>
      </c>
      <c r="G41">
        <v>40</v>
      </c>
      <c r="H41" t="s">
        <v>22</v>
      </c>
      <c r="I41" t="s">
        <v>46</v>
      </c>
      <c r="J41" t="s">
        <v>514</v>
      </c>
      <c r="K41">
        <v>2400</v>
      </c>
      <c r="L41" t="s">
        <v>271</v>
      </c>
      <c r="M41" t="s">
        <v>335</v>
      </c>
      <c r="N41" t="s">
        <v>335</v>
      </c>
      <c r="O41" t="s">
        <v>431</v>
      </c>
      <c r="P41" t="s">
        <v>431</v>
      </c>
      <c r="Q41" t="s">
        <v>431</v>
      </c>
      <c r="R41" t="s">
        <v>431</v>
      </c>
      <c r="S41" t="s">
        <v>346</v>
      </c>
      <c r="T41" t="s">
        <v>346</v>
      </c>
      <c r="U41" t="s">
        <v>154</v>
      </c>
      <c r="V41" t="s">
        <v>456</v>
      </c>
    </row>
    <row r="42" spans="1:22" x14ac:dyDescent="0.25">
      <c r="A42" t="s">
        <v>516</v>
      </c>
      <c r="B42">
        <v>153</v>
      </c>
      <c r="C42">
        <v>498</v>
      </c>
      <c r="D42">
        <v>13</v>
      </c>
      <c r="E42">
        <v>6</v>
      </c>
      <c r="F42" s="5">
        <v>8</v>
      </c>
      <c r="G42">
        <v>40</v>
      </c>
      <c r="H42" t="s">
        <v>22</v>
      </c>
      <c r="I42" t="s">
        <v>46</v>
      </c>
      <c r="J42" t="s">
        <v>514</v>
      </c>
      <c r="K42">
        <v>2850</v>
      </c>
      <c r="L42" t="s">
        <v>272</v>
      </c>
      <c r="M42" t="s">
        <v>347</v>
      </c>
      <c r="N42" t="s">
        <v>347</v>
      </c>
      <c r="O42" t="s">
        <v>431</v>
      </c>
      <c r="P42" t="s">
        <v>431</v>
      </c>
      <c r="Q42" t="s">
        <v>431</v>
      </c>
      <c r="R42" t="s">
        <v>431</v>
      </c>
      <c r="S42" t="s">
        <v>346</v>
      </c>
      <c r="T42" t="s">
        <v>346</v>
      </c>
      <c r="U42" t="s">
        <v>154</v>
      </c>
      <c r="V42" t="s">
        <v>456</v>
      </c>
    </row>
    <row r="43" spans="1:22" x14ac:dyDescent="0.25">
      <c r="A43" t="s">
        <v>517</v>
      </c>
      <c r="B43">
        <v>153</v>
      </c>
      <c r="C43">
        <v>498</v>
      </c>
      <c r="D43" t="s">
        <v>469</v>
      </c>
      <c r="E43">
        <v>2</v>
      </c>
      <c r="F43" s="5">
        <v>4</v>
      </c>
      <c r="G43">
        <v>40</v>
      </c>
      <c r="H43" t="s">
        <v>537</v>
      </c>
      <c r="I43" t="s">
        <v>46</v>
      </c>
      <c r="J43" t="s">
        <v>514</v>
      </c>
      <c r="K43">
        <v>3300</v>
      </c>
      <c r="L43" t="s">
        <v>272</v>
      </c>
      <c r="M43" t="s">
        <v>340</v>
      </c>
      <c r="N43" t="s">
        <v>340</v>
      </c>
      <c r="O43" t="s">
        <v>518</v>
      </c>
      <c r="P43" t="s">
        <v>518</v>
      </c>
      <c r="Q43" t="s">
        <v>518</v>
      </c>
      <c r="R43" t="s">
        <v>518</v>
      </c>
      <c r="S43" t="s">
        <v>329</v>
      </c>
      <c r="T43" t="s">
        <v>329</v>
      </c>
      <c r="U43" t="s">
        <v>160</v>
      </c>
      <c r="V43" t="s">
        <v>456</v>
      </c>
    </row>
    <row r="44" spans="1:22" x14ac:dyDescent="0.25">
      <c r="A44" t="s">
        <v>519</v>
      </c>
      <c r="B44">
        <v>112</v>
      </c>
      <c r="C44">
        <v>498</v>
      </c>
      <c r="D44">
        <v>4</v>
      </c>
      <c r="E44">
        <v>3</v>
      </c>
      <c r="F44" s="5">
        <v>4</v>
      </c>
      <c r="G44">
        <v>35</v>
      </c>
      <c r="H44" t="s">
        <v>396</v>
      </c>
      <c r="I44" t="s">
        <v>46</v>
      </c>
      <c r="J44" t="s">
        <v>231</v>
      </c>
      <c r="K44">
        <v>2850</v>
      </c>
      <c r="L44" t="s">
        <v>270</v>
      </c>
      <c r="M44" t="s">
        <v>309</v>
      </c>
      <c r="N44" t="s">
        <v>310</v>
      </c>
      <c r="O44" t="s">
        <v>310</v>
      </c>
      <c r="P44" t="s">
        <v>314</v>
      </c>
      <c r="Q44" t="s">
        <v>314</v>
      </c>
      <c r="R44" t="s">
        <v>314</v>
      </c>
      <c r="S44" t="s">
        <v>314</v>
      </c>
      <c r="T44" t="s">
        <v>311</v>
      </c>
      <c r="U44" t="s">
        <v>154</v>
      </c>
      <c r="V44" t="s">
        <v>456</v>
      </c>
    </row>
    <row r="45" spans="1:22" x14ac:dyDescent="0.25">
      <c r="A45" t="s">
        <v>520</v>
      </c>
      <c r="B45">
        <v>131</v>
      </c>
      <c r="C45">
        <v>498</v>
      </c>
      <c r="D45">
        <v>6</v>
      </c>
      <c r="E45">
        <v>4</v>
      </c>
      <c r="F45" s="5">
        <v>6</v>
      </c>
      <c r="G45">
        <v>35</v>
      </c>
      <c r="H45" t="s">
        <v>396</v>
      </c>
      <c r="I45" t="s">
        <v>46</v>
      </c>
      <c r="J45" t="s">
        <v>231</v>
      </c>
      <c r="K45">
        <v>2850</v>
      </c>
      <c r="L45" t="s">
        <v>270</v>
      </c>
      <c r="M45" t="s">
        <v>309</v>
      </c>
      <c r="N45" t="s">
        <v>315</v>
      </c>
      <c r="O45" t="s">
        <v>315</v>
      </c>
      <c r="P45" t="s">
        <v>431</v>
      </c>
      <c r="Q45" t="s">
        <v>431</v>
      </c>
      <c r="R45" t="s">
        <v>431</v>
      </c>
      <c r="S45" t="s">
        <v>431</v>
      </c>
      <c r="T45" t="s">
        <v>311</v>
      </c>
      <c r="U45" t="s">
        <v>154</v>
      </c>
      <c r="V45" t="s">
        <v>456</v>
      </c>
    </row>
    <row r="46" spans="1:22" x14ac:dyDescent="0.25">
      <c r="A46" t="s">
        <v>521</v>
      </c>
      <c r="B46">
        <v>144</v>
      </c>
      <c r="C46">
        <v>578</v>
      </c>
      <c r="D46">
        <v>9</v>
      </c>
      <c r="E46">
        <v>2</v>
      </c>
      <c r="F46" s="5">
        <v>4</v>
      </c>
      <c r="G46">
        <v>35</v>
      </c>
      <c r="H46" t="s">
        <v>22</v>
      </c>
      <c r="I46" t="s">
        <v>46</v>
      </c>
      <c r="J46" t="s">
        <v>522</v>
      </c>
      <c r="K46">
        <v>3300</v>
      </c>
      <c r="L46" t="s">
        <v>271</v>
      </c>
      <c r="M46" t="s">
        <v>326</v>
      </c>
      <c r="N46" t="s">
        <v>467</v>
      </c>
      <c r="O46" t="s">
        <v>467</v>
      </c>
      <c r="P46" t="s">
        <v>431</v>
      </c>
      <c r="Q46" t="s">
        <v>431</v>
      </c>
      <c r="R46" t="s">
        <v>431</v>
      </c>
      <c r="S46" t="s">
        <v>431</v>
      </c>
      <c r="T46" t="s">
        <v>311</v>
      </c>
      <c r="U46" t="s">
        <v>154</v>
      </c>
      <c r="V46" t="s">
        <v>456</v>
      </c>
    </row>
    <row r="47" spans="1:22" x14ac:dyDescent="0.25">
      <c r="A47" t="s">
        <v>523</v>
      </c>
      <c r="B47">
        <v>145</v>
      </c>
      <c r="C47">
        <v>578</v>
      </c>
      <c r="D47">
        <v>11</v>
      </c>
      <c r="E47">
        <v>6</v>
      </c>
      <c r="F47" s="5">
        <v>8</v>
      </c>
      <c r="G47">
        <v>35</v>
      </c>
      <c r="H47" t="s">
        <v>22</v>
      </c>
      <c r="I47" t="s">
        <v>46</v>
      </c>
      <c r="J47" t="s">
        <v>522</v>
      </c>
      <c r="K47">
        <v>3300</v>
      </c>
      <c r="L47" t="s">
        <v>271</v>
      </c>
      <c r="M47" t="s">
        <v>335</v>
      </c>
      <c r="N47" t="s">
        <v>336</v>
      </c>
      <c r="O47" t="s">
        <v>336</v>
      </c>
      <c r="P47" t="s">
        <v>431</v>
      </c>
      <c r="Q47" t="s">
        <v>431</v>
      </c>
      <c r="R47" t="s">
        <v>431</v>
      </c>
      <c r="S47" t="s">
        <v>431</v>
      </c>
      <c r="T47" t="s">
        <v>329</v>
      </c>
      <c r="U47" t="s">
        <v>162</v>
      </c>
      <c r="V47" t="s">
        <v>456</v>
      </c>
    </row>
    <row r="48" spans="1:22" x14ac:dyDescent="0.25">
      <c r="A48" t="s">
        <v>524</v>
      </c>
      <c r="B48">
        <v>140</v>
      </c>
      <c r="C48">
        <v>576</v>
      </c>
      <c r="D48">
        <v>13</v>
      </c>
      <c r="E48">
        <v>5</v>
      </c>
      <c r="F48" s="5">
        <v>7</v>
      </c>
      <c r="G48">
        <v>35</v>
      </c>
      <c r="H48" t="s">
        <v>22</v>
      </c>
      <c r="I48" t="s">
        <v>46</v>
      </c>
      <c r="J48" t="s">
        <v>522</v>
      </c>
      <c r="K48">
        <v>3900</v>
      </c>
      <c r="L48" t="s">
        <v>271</v>
      </c>
      <c r="M48" t="s">
        <v>347</v>
      </c>
      <c r="N48" t="s">
        <v>349</v>
      </c>
      <c r="O48" t="s">
        <v>349</v>
      </c>
      <c r="P48" t="s">
        <v>525</v>
      </c>
      <c r="Q48" t="s">
        <v>525</v>
      </c>
      <c r="R48" t="s">
        <v>525</v>
      </c>
      <c r="S48" t="s">
        <v>525</v>
      </c>
      <c r="T48" t="s">
        <v>329</v>
      </c>
      <c r="U48" t="s">
        <v>161</v>
      </c>
      <c r="V48" t="s">
        <v>456</v>
      </c>
    </row>
    <row r="49" spans="1:22" x14ac:dyDescent="0.25">
      <c r="A49" t="s">
        <v>526</v>
      </c>
      <c r="B49">
        <v>140</v>
      </c>
      <c r="C49">
        <v>576</v>
      </c>
      <c r="D49">
        <v>13</v>
      </c>
      <c r="E49">
        <v>3</v>
      </c>
      <c r="F49" s="5">
        <v>5</v>
      </c>
      <c r="G49">
        <v>35</v>
      </c>
      <c r="H49" t="s">
        <v>537</v>
      </c>
      <c r="I49" t="s">
        <v>46</v>
      </c>
      <c r="J49" t="s">
        <v>522</v>
      </c>
      <c r="K49">
        <v>3900</v>
      </c>
      <c r="L49" t="s">
        <v>271</v>
      </c>
      <c r="M49" t="s">
        <v>351</v>
      </c>
      <c r="N49" t="s">
        <v>340</v>
      </c>
      <c r="O49" t="s">
        <v>340</v>
      </c>
      <c r="P49" t="s">
        <v>486</v>
      </c>
      <c r="Q49" t="s">
        <v>486</v>
      </c>
      <c r="R49" t="s">
        <v>486</v>
      </c>
      <c r="S49" t="s">
        <v>486</v>
      </c>
      <c r="T49" t="s">
        <v>329</v>
      </c>
      <c r="U49" t="s">
        <v>539</v>
      </c>
      <c r="V49" t="s">
        <v>456</v>
      </c>
    </row>
    <row r="50" spans="1:22" x14ac:dyDescent="0.25">
      <c r="A50" t="s">
        <v>527</v>
      </c>
      <c r="B50">
        <v>479</v>
      </c>
      <c r="C50">
        <v>99</v>
      </c>
      <c r="D50">
        <v>1</v>
      </c>
      <c r="E50">
        <v>1</v>
      </c>
      <c r="F50" s="5">
        <v>1</v>
      </c>
      <c r="G50">
        <v>1000</v>
      </c>
      <c r="H50" t="s">
        <v>24</v>
      </c>
      <c r="I50" t="s">
        <v>2</v>
      </c>
      <c r="J50" t="s">
        <v>220</v>
      </c>
      <c r="K50">
        <v>300</v>
      </c>
      <c r="L50" t="s">
        <v>279</v>
      </c>
      <c r="M50" t="s">
        <v>528</v>
      </c>
      <c r="N50" t="s">
        <v>528</v>
      </c>
      <c r="O50" t="s">
        <v>143</v>
      </c>
      <c r="P50" t="s">
        <v>143</v>
      </c>
      <c r="Q50" t="s">
        <v>143</v>
      </c>
      <c r="R50" t="s">
        <v>143</v>
      </c>
      <c r="S50" t="s">
        <v>143</v>
      </c>
      <c r="T50" t="s">
        <v>143</v>
      </c>
      <c r="U50" t="s">
        <v>529</v>
      </c>
      <c r="V50" t="s">
        <v>143</v>
      </c>
    </row>
    <row r="51" spans="1:22" x14ac:dyDescent="0.25">
      <c r="A51" t="s">
        <v>530</v>
      </c>
      <c r="B51">
        <v>479</v>
      </c>
      <c r="C51">
        <v>99</v>
      </c>
      <c r="D51">
        <v>1</v>
      </c>
      <c r="E51">
        <v>1</v>
      </c>
      <c r="F51" s="5">
        <v>1</v>
      </c>
      <c r="G51">
        <v>500</v>
      </c>
      <c r="H51" t="s">
        <v>24</v>
      </c>
      <c r="I51" t="s">
        <v>2</v>
      </c>
      <c r="J51" t="s">
        <v>220</v>
      </c>
      <c r="K51">
        <v>300</v>
      </c>
      <c r="L51" t="s">
        <v>279</v>
      </c>
      <c r="M51" t="s">
        <v>528</v>
      </c>
      <c r="N51" t="s">
        <v>528</v>
      </c>
      <c r="O51" t="s">
        <v>143</v>
      </c>
      <c r="P51" t="s">
        <v>143</v>
      </c>
      <c r="Q51" t="s">
        <v>143</v>
      </c>
      <c r="R51" t="s">
        <v>143</v>
      </c>
      <c r="S51" t="s">
        <v>143</v>
      </c>
      <c r="T51" t="s">
        <v>143</v>
      </c>
      <c r="U51" t="s">
        <v>529</v>
      </c>
      <c r="V51" t="s">
        <v>143</v>
      </c>
    </row>
    <row r="52" spans="1:22" x14ac:dyDescent="0.25">
      <c r="A52" t="s">
        <v>531</v>
      </c>
      <c r="B52">
        <v>479</v>
      </c>
      <c r="C52">
        <v>99</v>
      </c>
      <c r="D52">
        <v>1</v>
      </c>
      <c r="E52">
        <v>1</v>
      </c>
      <c r="F52" s="5">
        <v>1</v>
      </c>
      <c r="G52">
        <v>250</v>
      </c>
      <c r="H52" t="s">
        <v>24</v>
      </c>
      <c r="I52" t="s">
        <v>2</v>
      </c>
      <c r="J52" t="s">
        <v>220</v>
      </c>
      <c r="K52">
        <v>300</v>
      </c>
      <c r="L52" t="s">
        <v>279</v>
      </c>
      <c r="M52" t="s">
        <v>528</v>
      </c>
      <c r="N52" t="s">
        <v>528</v>
      </c>
      <c r="O52" t="s">
        <v>143</v>
      </c>
      <c r="P52" t="s">
        <v>143</v>
      </c>
      <c r="Q52" t="s">
        <v>143</v>
      </c>
      <c r="R52" t="s">
        <v>143</v>
      </c>
      <c r="S52" t="s">
        <v>143</v>
      </c>
      <c r="T52" t="s">
        <v>143</v>
      </c>
      <c r="U52" t="s">
        <v>529</v>
      </c>
      <c r="V52" t="s">
        <v>143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Armor</vt:lpstr>
      <vt:lpstr>Special Armor</vt:lpstr>
      <vt:lpstr>Battery</vt:lpstr>
      <vt:lpstr>Chassis</vt:lpstr>
      <vt:lpstr>Drive</vt:lpstr>
      <vt:lpstr>Internal</vt:lpstr>
      <vt:lpstr>Life Support</vt:lpstr>
      <vt:lpstr>Limbs</vt:lpstr>
      <vt:lpstr>Reactor</vt:lpstr>
      <vt:lpstr>Sensors</vt:lpstr>
      <vt:lpstr>Shields</vt:lpstr>
      <vt:lpstr>Targeting Computer</vt:lpstr>
      <vt:lpstr>Sheet1</vt:lpstr>
      <vt:lpstr>Weapons</vt:lpstr>
      <vt:lpstr>Cybrid Buildings</vt:lpstr>
      <vt:lpstr>Cybrid 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2026-09-17T14:39:50Z</dcterms:created>
  <dcterms:modified xsi:type="dcterms:W3CDTF">2026-09-20T18:54:50Z</dcterms:modified>
</cp:coreProperties>
</file>